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tmy\Downloads\"/>
    </mc:Choice>
  </mc:AlternateContent>
  <xr:revisionPtr revIDLastSave="0" documentId="13_ncr:1_{1D638748-3F5A-4246-A58C-99690E83FE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ổng hợp" sheetId="1" r:id="rId1"/>
    <sheet name="Ban Biên tập" sheetId="2" r:id="rId2"/>
    <sheet name="Bản tin AGU  (1)" sheetId="3" r:id="rId3"/>
    <sheet name="Bản tin AGU  (2)" sheetId="4" r:id="rId4"/>
    <sheet name="Phóng sự  (1)" sheetId="5" r:id="rId5"/>
    <sheet name="Phóng sự  (2)" sheetId="6" r:id="rId6"/>
    <sheet name="Góc nhìn  (1)" sheetId="7" r:id="rId7"/>
    <sheet name="Góc nhìn  (2)" sheetId="8" r:id="rId8"/>
    <sheet name="Câu lạc bộ (1)" sheetId="9" r:id="rId9"/>
    <sheet name="Câu lạc bộ (2)" sheetId="10" r:id="rId10"/>
  </sheets>
  <definedNames>
    <definedName name="_xlnm.Print_Titles" localSheetId="2">'Bản tin AGU  (1)'!$4:$4</definedName>
    <definedName name="_xlnm.Print_Titles" localSheetId="3">'Bản tin AGU  (2)'!$4:$4</definedName>
    <definedName name="_xlnm.Print_Titles" localSheetId="8">'Câu lạc bộ (1)'!$4:$4</definedName>
    <definedName name="_xlnm.Print_Titles" localSheetId="9">'Câu lạc bộ (2)'!$4:$4</definedName>
    <definedName name="_xlnm.Print_Titles" localSheetId="6">'Góc nhìn  (1)'!$4:$4</definedName>
    <definedName name="_xlnm.Print_Titles" localSheetId="7">'Góc nhìn  (2)'!$4:$4</definedName>
    <definedName name="_xlnm.Print_Titles" localSheetId="4">'Phóng sự  (1)'!$4:$4</definedName>
    <definedName name="_xlnm.Print_Titles" localSheetId="5">'Phóng sự  (2)'!$4:$4</definedName>
    <definedName name="Total_Baiviet3">'Bản tin AGU  (1)'!$G$37</definedName>
    <definedName name="Total_Baiviet4">'Phóng sự  (1)'!$G$6</definedName>
    <definedName name="Total_Baiviet5">'Góc nhìn  (1)'!$G$17</definedName>
    <definedName name="Total_Baiviet6">'Câu lạc bộ (1)'!$G$12</definedName>
    <definedName name="Total_BBT">'Ban Biên tập'!$D$13</definedName>
    <definedName name="Total_Hinhanh3">'Bản tin AGU  (2)'!$G$37</definedName>
    <definedName name="Total_Hinhanh4">'Phóng sự  (2)'!$G$6</definedName>
    <definedName name="Total_Hinhanh5">'Góc nhìn  (2)'!$G$17</definedName>
    <definedName name="Total_Hinhanh6">'Câu lạc bộ (2)'!$G$12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0" l="1"/>
  <c r="F12" i="9"/>
  <c r="F17" i="8"/>
  <c r="F17" i="7"/>
  <c r="F6" i="6"/>
  <c r="F6" i="5"/>
  <c r="F37" i="4"/>
  <c r="F37" i="3"/>
  <c r="G12" i="10"/>
  <c r="C23" i="1" s="1"/>
  <c r="G12" i="9"/>
  <c r="C22" i="1" s="1"/>
  <c r="G17" i="8"/>
  <c r="C21" i="1" s="1"/>
  <c r="G17" i="7"/>
  <c r="C20" i="1" s="1"/>
  <c r="G6" i="6"/>
  <c r="C19" i="1" s="1"/>
  <c r="G6" i="5"/>
  <c r="C18" i="1" s="1"/>
  <c r="G37" i="4"/>
  <c r="C17" i="1" s="1"/>
  <c r="G37" i="3"/>
  <c r="C16" i="1" s="1"/>
  <c r="D13" i="2"/>
  <c r="C24" i="1" s="1"/>
  <c r="C25" i="1" l="1"/>
</calcChain>
</file>

<file path=xl/sharedStrings.xml><?xml version="1.0" encoding="utf-8"?>
<sst xmlns="http://schemas.openxmlformats.org/spreadsheetml/2006/main" count="492" uniqueCount="209">
  <si>
    <t>Đơn vị : Trường Đại học An Giang</t>
  </si>
  <si>
    <t>Mẫu số C41-HD</t>
  </si>
  <si>
    <t>Bộ phận: Thư viện</t>
  </si>
  <si>
    <t>(Ban hành kèm theo Thông tư số 185/2010/TT-BTC 
ngày 15/11/2010 của Bộ Tài chính)</t>
  </si>
  <si>
    <t>Mã đơn vị SDNS: …......................</t>
  </si>
  <si>
    <t>BẢNG KÊ ĐỀ NGHỊ THANH TOÁN</t>
  </si>
  <si>
    <t xml:space="preserve">Ngày  ...  Tháng  ...  Năm  ...  </t>
  </si>
  <si>
    <t>Nợ:….......</t>
  </si>
  <si>
    <t>Có:….......</t>
  </si>
  <si>
    <t>Nội dung công việc: Thanh toán chi phí Trang Báo sinh viên điện tử e-News</t>
  </si>
  <si>
    <t>Địa điểm tổ chức thực hiện: Thư viện</t>
  </si>
  <si>
    <t>STT</t>
  </si>
  <si>
    <t>Nội dung</t>
  </si>
  <si>
    <t>Số tiền</t>
  </si>
  <si>
    <t>Ghi chú</t>
  </si>
  <si>
    <t>Đính kèm trang 1</t>
  </si>
  <si>
    <t>Đính kèm trang 2</t>
  </si>
  <si>
    <t>Đính kèm trang 3</t>
  </si>
  <si>
    <t>Đính kèm trang 4</t>
  </si>
  <si>
    <t>Đính kèm trang 5</t>
  </si>
  <si>
    <t>Đính kèm trang 6</t>
  </si>
  <si>
    <t>Đính kèm trang 7</t>
  </si>
  <si>
    <t>Đính kèm trang 8</t>
  </si>
  <si>
    <t>Ban Biên tập</t>
  </si>
  <si>
    <t>Đính kèm trang 9</t>
  </si>
  <si>
    <t>Tổng cộng:</t>
  </si>
  <si>
    <t>Kèm theo...................chứng từ gốc</t>
  </si>
  <si>
    <t xml:space="preserve">Ngày   ....   Tháng   ….    Năm   ….      </t>
  </si>
  <si>
    <t>BẢNG THANH TOÁN TIỀN ĐIỀU HÀNH TRANG TIN SINH VIÊN</t>
  </si>
  <si>
    <t>Họ và tên</t>
  </si>
  <si>
    <t>Nghiệp vụ</t>
  </si>
  <si>
    <t>Thành tiền</t>
  </si>
  <si>
    <t>Ký nhận</t>
  </si>
  <si>
    <t>Ngô Thị Kim Duyên</t>
  </si>
  <si>
    <t>Trưởng Ban</t>
  </si>
  <si>
    <t>Nguyễn Thị Hồng Loan</t>
  </si>
  <si>
    <t>Phó Trưởng Ban</t>
  </si>
  <si>
    <t>Nguyễn Ngọc Anh Thư</t>
  </si>
  <si>
    <t>Biên tập viên</t>
  </si>
  <si>
    <t>Trần Tùng Chinh</t>
  </si>
  <si>
    <t>Huỳnh Phước Hải</t>
  </si>
  <si>
    <t>Lê Thiện Mỹ</t>
  </si>
  <si>
    <t>Huỳnh Thị Cam</t>
  </si>
  <si>
    <t>Thành viên tổ chuyên gia giúp việc</t>
  </si>
  <si>
    <t>Trịnh Thanh Thảo</t>
  </si>
  <si>
    <t>Người đề nghị thanh toán           Thư viện            Kế toán trưởng            Thủ trưởng đơn vị</t>
  </si>
  <si>
    <t>BẢNG THANH TOÁN TIỀN NHUẬN BÚT TRANG TIN SINH VIÊN</t>
  </si>
  <si>
    <t>Tác giả</t>
  </si>
  <si>
    <t>Đơn vị</t>
  </si>
  <si>
    <t>Nội dung tin/bài</t>
  </si>
  <si>
    <t>Đơn giá</t>
  </si>
  <si>
    <t>Chiết tính</t>
  </si>
  <si>
    <t>Trương Phát Đạt</t>
  </si>
  <si>
    <t xml:space="preserve"> DH24TR</t>
  </si>
  <si>
    <t xml:space="preserve">Công trình thanh niên “Phi mã đón xuân - Hành trình tri ân” </t>
  </si>
  <si>
    <t>Trần Bá Luân</t>
  </si>
  <si>
    <t xml:space="preserve"> DH23TH1</t>
  </si>
  <si>
    <t xml:space="preserve">Chi đoàn DH23TH1 &amp; DH23TH2 tổ chức chương trình “Xuân ấm áp – Tết yêu thương” </t>
  </si>
  <si>
    <t>Võ Huỳnh Cát Cát</t>
  </si>
  <si>
    <t xml:space="preserve"> DH24TA1</t>
  </si>
  <si>
    <t xml:space="preserve">Tuổi trẻ Khoa Ngoại ngữ lan tỏa yêu thương với Công trình thanh niên “Tết ấm áp - Xuân yêu thương 2026” </t>
  </si>
  <si>
    <t xml:space="preserve"> GV THSP</t>
  </si>
  <si>
    <t>Trường Phổ thông Thực hành Sư phạm tổ chức chương trình “Mừng Đảng - Mừng Xân 2026”</t>
  </si>
  <si>
    <t>Hội nghị Triển khai hồ sơ tốt nghiệp cho sinh viên Sư phạm khóa DH25</t>
  </si>
  <si>
    <t>Đặng Chí Nhân</t>
  </si>
  <si>
    <t xml:space="preserve"> DH23LU</t>
  </si>
  <si>
    <t>Hoạt động Xuân nghĩa tình của Đoàn khoa Luật và Khoa học chính trị</t>
  </si>
  <si>
    <t>Huỳnh Chí Thiện</t>
  </si>
  <si>
    <t>Báo cáo chuyên đề về kỹ năng viết tổng quan và ứng dụng AI trong nghiên cứu khoa học</t>
  </si>
  <si>
    <t>Hồ Chí Vĩ</t>
  </si>
  <si>
    <t xml:space="preserve"> DH24QT </t>
  </si>
  <si>
    <t>Báo cáo chuyên đề “Nghiệp vụ hải quan và thanh toán quốc tế trong thương mại toàn cầu”</t>
  </si>
  <si>
    <t>Báo cáo chuyên đề “Ứng dụng AI vào tổ chức Marketing Campaign”</t>
  </si>
  <si>
    <t>Triệu Thiên Phú</t>
  </si>
  <si>
    <t xml:space="preserve"> DH25TA</t>
  </si>
  <si>
    <t>Câu lạc bộ Du lịch tổ chức chương trình “Xuân gắn kết - Tết sẻ chia”</t>
  </si>
  <si>
    <t>Lê Hiệp Nguyên</t>
  </si>
  <si>
    <t xml:space="preserve"> DH23TH3</t>
  </si>
  <si>
    <t>Hoạt động “Đêm Xuân ấm áp” của Tuổi trẻ Khoa Công nghệ thông tin</t>
  </si>
  <si>
    <t>Hồ Thị Đào</t>
  </si>
  <si>
    <t>Sinh viên ngành Việt Nam học (chuyên ngành Hướng dẫn du lịch) thực tập nghiệp vụ hướng dẫn Xuyên Việt</t>
  </si>
  <si>
    <t>Nguyễn Lê Hoàng Tâm</t>
  </si>
  <si>
    <t xml:space="preserve"> DH26LU</t>
  </si>
  <si>
    <t>Công trình thanh niên “Gửi Xuân Yêu Thương” của Chi đoàn DH26LU</t>
  </si>
  <si>
    <t>Nguyễn Hồng Phúc</t>
  </si>
  <si>
    <t xml:space="preserve"> DH24MK</t>
  </si>
  <si>
    <t>Chi đoàn DH24MK mang Tết yêu thương đến xã Định Mỹ</t>
  </si>
  <si>
    <t>Giải Bóng đá mừng Đảng mừng Xuân 2026 của Khoa Công nghệ thông tin</t>
  </si>
  <si>
    <t xml:space="preserve">Hội thi Đấu trường pháp lý “Bản lĩnh và tranh biện” </t>
  </si>
  <si>
    <t>Lê Đặng Thị Kiều Oanh</t>
  </si>
  <si>
    <t xml:space="preserve"> DH23NV</t>
  </si>
  <si>
    <t xml:space="preserve">Chương trình “Xuân về trên biên giới 2026” của Câu lạc bộ Kỹ năng và Công tác xã hội </t>
  </si>
  <si>
    <t xml:space="preserve"> TV</t>
  </si>
  <si>
    <t>Thư viện Trường Đại học An Giang đón tiếp sinh viên thực tập tốt nghiệp</t>
  </si>
  <si>
    <t>Nguyễn Thái Ngọc Trang</t>
  </si>
  <si>
    <t xml:space="preserve"> DH24AV</t>
  </si>
  <si>
    <t>Bùng nổ sắc màu tại Dạ hội mùa xuân – Spring Festival 2026</t>
  </si>
  <si>
    <t>Phạm Thị Ngọc Trinh</t>
  </si>
  <si>
    <t xml:space="preserve"> DH24KH</t>
  </si>
  <si>
    <t>"Gieo mầm hy vọng - Gửi trọn ấm áp” cùng CLB Ngôi nhà Hóa học</t>
  </si>
  <si>
    <t>Trần Thị Như Ý</t>
  </si>
  <si>
    <t xml:space="preserve"> DH24QT</t>
  </si>
  <si>
    <t>Chương trình tình nguyện “Mùa xuân cho em 2026”</t>
  </si>
  <si>
    <t xml:space="preserve">Chi đoàn DH24QT thực hiện công trình thanh niên “Sắc màu tình nguyện”  </t>
  </si>
  <si>
    <t>Trịnh Phước Nguyên</t>
  </si>
  <si>
    <t xml:space="preserve"> Viện BĐKH</t>
  </si>
  <si>
    <t>Viện Biến đổi khí hậu tiếp Văn phòng Tổ chức lương thực và nông nghiệp Liên hiệp Quốc (FAO) tại Việt Nam</t>
  </si>
  <si>
    <t>Nguyễn Thành Đạt</t>
  </si>
  <si>
    <t xml:space="preserve"> DH24BT</t>
  </si>
  <si>
    <t xml:space="preserve">Đoàn khoa Nông nghiệp - Tài nguyên thiên nhiên lan tỏa yêu thương qua chương trình “Xuân về đón Tết” </t>
  </si>
  <si>
    <t>Hội thao “Mừng Đảng - mừng Xuân” của Đoàn khoa Nông nghiệp - Tài nguyên thiên nhiên</t>
  </si>
  <si>
    <t>Lê Quốc Khanh</t>
  </si>
  <si>
    <t xml:space="preserve"> DH23SU</t>
  </si>
  <si>
    <t>Hội nghị tổng kết công tác Đoàn - Hội và phong trào sinh viên Khoa Sư phạm</t>
  </si>
  <si>
    <t xml:space="preserve">Đoàn – Hội Khoa Sư phạm họp mặt đoàn viên, sinh viên nhân dịp Xuân Bính Ngọ </t>
  </si>
  <si>
    <t>Tập huấn cán bộ Đoàn - Hội Khoa Sư phạm năm học 2025-2026</t>
  </si>
  <si>
    <t>Tuổi trẻ Khoa Sư phạm tổ chức Chương trình Xuân yêu thương tại xã Vĩnh Điều</t>
  </si>
  <si>
    <t xml:space="preserve">Hội nghị tổng kết công tác Đoàn - Hội và phong trào sinh viên năm học 2024-2025 </t>
  </si>
  <si>
    <t>Báo cáo chuyên đề kỷ niệm 96 năm thành lập Đảng Cộng sản Việt Nam (03/02/1930 - 03/02/2026)</t>
  </si>
  <si>
    <t>Người đề nghị thanh toán                         Thư viện                              Kế toán trưởng                                    Thủ trưởng đơn vị</t>
  </si>
  <si>
    <t xml:space="preserve">Mùa vẽ Xuân 2026 của Câu lạc bộ Hành trình xanh An Giang </t>
  </si>
  <si>
    <t>Gió Hồng</t>
  </si>
  <si>
    <t xml:space="preserve"> DH26CT</t>
  </si>
  <si>
    <t xml:space="preserve">Cha mẹ không thích mặc áo mới? </t>
  </si>
  <si>
    <t>Đào Hồ Ngọc Bích</t>
  </si>
  <si>
    <t xml:space="preserve"> DH26TA1</t>
  </si>
  <si>
    <t>Ly cà phê nguội</t>
  </si>
  <si>
    <t>Thái Thị Hồng Sương</t>
  </si>
  <si>
    <t xml:space="preserve"> DH24VH </t>
  </si>
  <si>
    <t>Ngôi nhà nuôi tôi lớn</t>
  </si>
  <si>
    <t>Nguyễn Thị Kim Quyên</t>
  </si>
  <si>
    <t xml:space="preserve"> DH24VH</t>
  </si>
  <si>
    <t>Trước thềm một mùa rất cũ</t>
  </si>
  <si>
    <t>Võ Phạm Ngọc Ngân</t>
  </si>
  <si>
    <t xml:space="preserve"> DH24NV</t>
  </si>
  <si>
    <t>Mưa Xuân trên mái lá</t>
  </si>
  <si>
    <t>Ngô Nguyễn Ngọc Nhung</t>
  </si>
  <si>
    <t xml:space="preserve">  DH25NV</t>
  </si>
  <si>
    <t>Một mùa Xuân khác</t>
  </si>
  <si>
    <t xml:space="preserve"> DH25NV</t>
  </si>
  <si>
    <t>Mẹ giữ Tết</t>
  </si>
  <si>
    <t>Trần Lâm Quế Hương</t>
  </si>
  <si>
    <t xml:space="preserve"> DH22PN </t>
  </si>
  <si>
    <t>Tâm tình ngày Tết Việt từ Israel</t>
  </si>
  <si>
    <t>Nguyễn Thành Nam</t>
  </si>
  <si>
    <t xml:space="preserve"> DH23TR </t>
  </si>
  <si>
    <t xml:space="preserve">Hương vị Tết xưa </t>
  </si>
  <si>
    <t>Trần Văn Biên</t>
  </si>
  <si>
    <t>Hương vị của cánh diều</t>
  </si>
  <si>
    <t>Nguyễn Văn Huy</t>
  </si>
  <si>
    <t xml:space="preserve"> DH24NH</t>
  </si>
  <si>
    <t>Những ngọn cờ giữa sương sớm</t>
  </si>
  <si>
    <t>Đỗ Thị Xuân Thảo</t>
  </si>
  <si>
    <t xml:space="preserve"> DH21NV</t>
  </si>
  <si>
    <t>Hơi ấm mùa xuân</t>
  </si>
  <si>
    <t>Đặng Thị Cẩm Thi</t>
  </si>
  <si>
    <t>Nhìn người bằng ánh mắt khoan dung</t>
  </si>
  <si>
    <t>Võ Thị Mộng Cầm Thi</t>
  </si>
  <si>
    <t>Âm nhạc kết nối đam mê</t>
  </si>
  <si>
    <t>Nguyễn Chí Tặng</t>
  </si>
  <si>
    <t xml:space="preserve"> DH26VH</t>
  </si>
  <si>
    <t>Mai vàng rải lộc bên thềm cũ</t>
  </si>
  <si>
    <t>Hoạt động “Xuân yêu thương 2026” của Câu lạc bộ Văn Thơ</t>
  </si>
  <si>
    <t>Nguyễn Văn Hồng Thắng</t>
  </si>
  <si>
    <t xml:space="preserve"> DH25DL</t>
  </si>
  <si>
    <t>Ngắm sen</t>
  </si>
  <si>
    <t>Phạm Phúc Vinh</t>
  </si>
  <si>
    <t>Tết về trong nỗi nhớ</t>
  </si>
  <si>
    <t>Tết đủ đầy vì con còn có mẹ…</t>
  </si>
  <si>
    <t>Bản tin AGU - Phóng sự ảnh (Tin tự viết)</t>
  </si>
  <si>
    <t>Bản tin AGU - Phóng sự ảnh (Hình)</t>
  </si>
  <si>
    <t>Phóng sự - Kết quả NCKH (Bài viết)</t>
  </si>
  <si>
    <t>Phóng sự - Kết quả NCKH (Hình)</t>
  </si>
  <si>
    <t>Ký, Chính Luận (Bài viết)</t>
  </si>
  <si>
    <t>Ký, Chính Luận (Hình)</t>
  </si>
  <si>
    <t>Tản văn, Thơ, Truyện ngắn (Bài viết)</t>
  </si>
  <si>
    <t>Tản văn, Thơ, Truyện ngắn (Hình)</t>
  </si>
  <si>
    <t>Người đề nghị thanh toán: Lê Thiện Mỹ</t>
  </si>
  <si>
    <t>Thời gian thực hiện: từ ngày 01/02/2026  đến ngày  28/02/2026.</t>
  </si>
  <si>
    <t>THÁNG 02/2026 - Ban Biên tập</t>
  </si>
  <si>
    <t>Số tiền bằng chữ: Một triệu bốn trăm nghìn đồng.</t>
  </si>
  <si>
    <t>Tháng 2/2026 - Bản tin AGU - Phóng sự ảnh (Tin tự viết)</t>
  </si>
  <si>
    <t>Tháng 2/2026 - Bản tin AGU - Phóng sự ảnh (Hình)</t>
  </si>
  <si>
    <t>Tháng 2/2026 - Phóng sự - Kết quả NCKH (Bài viết)</t>
  </si>
  <si>
    <t>Tháng 2/2026 - Phóng sự - Kết quả NCKH (Hình)</t>
  </si>
  <si>
    <t>Tháng 2/2026 - Ký, Chính Luận (Bài viết)</t>
  </si>
  <si>
    <t>Tháng 2/2026 - Ký, Chính Luận (Hình)</t>
  </si>
  <si>
    <t>Tháng 2/2026 - Tản văn, Thơ, Truyện ngắn (Bài viết)</t>
  </si>
  <si>
    <t>Tháng 2/2026 - Tản văn, Thơ, Truyện ngắn (Hình)</t>
  </si>
  <si>
    <r>
      <t xml:space="preserve">  </t>
    </r>
    <r>
      <rPr>
        <b/>
        <sz val="12"/>
        <color rgb="FF000000"/>
        <rFont val="Times New Roman"/>
        <family val="1"/>
      </rPr>
      <t xml:space="preserve">        Lê Thiện Mỹ                                Ngô Thị Kim Duyên</t>
    </r>
  </si>
  <si>
    <r>
      <t xml:space="preserve">  </t>
    </r>
    <r>
      <rPr>
        <b/>
        <sz val="12"/>
        <color rgb="FF000000"/>
        <rFont val="Times New Roman"/>
        <family val="1"/>
      </rPr>
      <t xml:space="preserve">       Lê Thiện Mỹ          Ngô Thị Kim Duyên</t>
    </r>
  </si>
  <si>
    <r>
      <t xml:space="preserve">  </t>
    </r>
    <r>
      <rPr>
        <b/>
        <sz val="12"/>
        <color rgb="FF000000"/>
        <rFont val="Times New Roman"/>
        <family val="1"/>
      </rPr>
      <t xml:space="preserve">      Lê Thiện Mỹ             Ngô Thị Kim Duyên</t>
    </r>
  </si>
  <si>
    <t>Trần Thị Châu Trân Ảnh: Nguyễn Thị Tú Quyên 
Lê Trí Tâm</t>
  </si>
  <si>
    <t>Trương Chí Hùng
Đoàn Khoa Sư phạm</t>
  </si>
  <si>
    <t xml:space="preserve"> Khoa
Sư phạm</t>
  </si>
  <si>
    <t xml:space="preserve">Huỳnh Chí Thiện
Trương Phát Đạt </t>
  </si>
  <si>
    <t xml:space="preserve">Hồ Chí Vĩ
Trần Thiên Hạo </t>
  </si>
  <si>
    <t xml:space="preserve"> Khoa 
Luật &amp; KHCT
DH24TR</t>
  </si>
  <si>
    <t xml:space="preserve"> Khoa Du lịch
 &amp; VHNT</t>
  </si>
  <si>
    <t xml:space="preserve"> Khoa 
Luật và KHCT</t>
  </si>
  <si>
    <t>Số tiền viết bằng chữ: Chín trăm sáu mươi nghìn đồng/</t>
  </si>
  <si>
    <t>Số tiền viết bằng chữ: Hai triệu chín trăm sáu mươi nghìn đồng.</t>
  </si>
  <si>
    <t>Số tiền viết bằng chữ: Một trăm hai mươi nghìn đồng.</t>
  </si>
  <si>
    <t>Số tiền viết bằng chữ: Bảy mươi nghìn đồng.</t>
  </si>
  <si>
    <t>Số tiền viết bằng chữ: Một triệu hai trăm nghìn đồng.</t>
  </si>
  <si>
    <t>Số tiền viết bằng chữ: Môt trăm ba mươi nghìn đồng.</t>
  </si>
  <si>
    <t>Số tiền viết bằng chữ: Bảy trăm nghìn đồng.</t>
  </si>
  <si>
    <t>Số tiền viết bằng chữ: Hai trăm năm mươi nghìn đồng.</t>
  </si>
  <si>
    <t>Số tiền đề nghị thanh toán(bằng chữ): Bảy triệu tám trăm mười nghìn đồng.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</si>
</sst>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đ&quot;"/>
  </numFmts>
  <fonts count="14" x14ac:knownFonts="1">
    <font>
      <sz val="12"/>
      <color rgb="FF000000"/>
      <name val="Times New Roman"/>
    </font>
    <font>
      <b/>
      <sz val="12"/>
      <color rgb="FF000000"/>
      <name val="Times New Roman"/>
    </font>
    <font>
      <b/>
      <sz val="14"/>
      <color rgb="FF000000"/>
      <name val="Times New Roman"/>
    </font>
    <font>
      <sz val="13"/>
      <color rgb="FF000000"/>
      <name val="Times New Roman"/>
    </font>
    <font>
      <b/>
      <sz val="13"/>
      <color rgb="FF000000"/>
      <name val="Times New Roman"/>
    </font>
    <font>
      <sz val="14"/>
      <color rgb="FF000000"/>
      <name val="Times New Roman"/>
    </font>
    <font>
      <b/>
      <sz val="16"/>
      <color rgb="FF000000"/>
      <name val="Times New Roman"/>
    </font>
    <font>
      <sz val="16"/>
      <color rgb="FF000000"/>
      <name val="Times New Roman"/>
    </font>
    <font>
      <i/>
      <sz val="12"/>
      <color rgb="FF000000"/>
      <name val="Times New Roman"/>
    </font>
    <font>
      <sz val="13"/>
      <color rgb="FF000000"/>
      <name val="Times New Roman"/>
      <family val="1"/>
    </font>
    <font>
      <b/>
      <sz val="13"/>
      <color rgb="FF000000"/>
      <name val="Times New Roman"/>
      <family val="1"/>
    </font>
    <font>
      <b/>
      <sz val="14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7">
    <xf numFmtId="0" fontId="0" fillId="2" borderId="0" xfId="0" applyFill="1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5" fillId="2" borderId="0" xfId="0" applyFont="1" applyFill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/>
    </xf>
    <xf numFmtId="0" fontId="10" fillId="2" borderId="0" xfId="0" applyFont="1" applyFill="1" applyAlignment="1">
      <alignment vertical="center"/>
    </xf>
    <xf numFmtId="0" fontId="12" fillId="2" borderId="0" xfId="0" applyFont="1" applyFill="1"/>
    <xf numFmtId="0" fontId="1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 wrapText="1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8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left"/>
    </xf>
    <xf numFmtId="0" fontId="11" fillId="2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topLeftCell="A6" workbookViewId="0">
      <selection activeCell="F28" sqref="F28"/>
    </sheetView>
  </sheetViews>
  <sheetFormatPr defaultRowHeight="15.75" x14ac:dyDescent="0.25"/>
  <cols>
    <col min="1" max="1" width="6" customWidth="1"/>
    <col min="2" max="2" width="36.125" customWidth="1"/>
    <col min="3" max="3" width="15" customWidth="1"/>
    <col min="4" max="4" width="20.625" customWidth="1"/>
  </cols>
  <sheetData>
    <row r="1" spans="1:4" x14ac:dyDescent="0.25">
      <c r="A1" s="1" t="s">
        <v>0</v>
      </c>
      <c r="C1" s="36" t="s">
        <v>1</v>
      </c>
      <c r="D1" s="37"/>
    </row>
    <row r="2" spans="1:4" x14ac:dyDescent="0.25">
      <c r="A2" s="1" t="s">
        <v>2</v>
      </c>
      <c r="C2" s="38" t="s">
        <v>3</v>
      </c>
      <c r="D2" s="37"/>
    </row>
    <row r="3" spans="1:4" x14ac:dyDescent="0.25">
      <c r="A3" s="1" t="s">
        <v>4</v>
      </c>
      <c r="C3" s="37"/>
      <c r="D3" s="37"/>
    </row>
    <row r="5" spans="1:4" ht="20.25" customHeight="1" x14ac:dyDescent="0.25">
      <c r="A5" s="39" t="s">
        <v>5</v>
      </c>
      <c r="B5" s="40"/>
      <c r="C5" s="40"/>
      <c r="D5" s="40"/>
    </row>
    <row r="6" spans="1:4" ht="16.5" customHeight="1" x14ac:dyDescent="0.25">
      <c r="A6" s="41" t="s">
        <v>6</v>
      </c>
      <c r="B6" s="42"/>
      <c r="C6" s="42"/>
      <c r="D6" s="42"/>
    </row>
    <row r="8" spans="1:4" x14ac:dyDescent="0.25">
      <c r="A8" s="10"/>
      <c r="B8" s="10"/>
      <c r="C8" s="10"/>
      <c r="D8" s="10" t="s">
        <v>7</v>
      </c>
    </row>
    <row r="9" spans="1:4" x14ac:dyDescent="0.25">
      <c r="A9" s="10"/>
      <c r="B9" s="10"/>
      <c r="C9" s="10"/>
      <c r="D9" s="10" t="s">
        <v>8</v>
      </c>
    </row>
    <row r="10" spans="1:4" ht="16.5" customHeight="1" x14ac:dyDescent="0.25">
      <c r="A10" s="9" t="s">
        <v>177</v>
      </c>
      <c r="B10" s="10"/>
      <c r="C10" s="10"/>
      <c r="D10" s="10"/>
    </row>
    <row r="11" spans="1:4" ht="16.5" customHeight="1" x14ac:dyDescent="0.25">
      <c r="A11" s="9" t="s">
        <v>9</v>
      </c>
      <c r="B11" s="10"/>
      <c r="C11" s="10"/>
      <c r="D11" s="10"/>
    </row>
    <row r="12" spans="1:4" ht="16.5" customHeight="1" x14ac:dyDescent="0.25">
      <c r="A12" s="9" t="s">
        <v>10</v>
      </c>
      <c r="B12" s="10"/>
      <c r="C12" s="10"/>
      <c r="D12" s="10"/>
    </row>
    <row r="13" spans="1:4" ht="16.5" customHeight="1" x14ac:dyDescent="0.25">
      <c r="A13" s="9" t="s">
        <v>178</v>
      </c>
      <c r="B13" s="10"/>
      <c r="C13" s="10"/>
      <c r="D13" s="10"/>
    </row>
    <row r="15" spans="1:4" s="21" customFormat="1" ht="24.95" customHeight="1" x14ac:dyDescent="0.25">
      <c r="A15" s="28" t="s">
        <v>11</v>
      </c>
      <c r="B15" s="28" t="s">
        <v>12</v>
      </c>
      <c r="C15" s="29" t="s">
        <v>13</v>
      </c>
      <c r="D15" s="28" t="s">
        <v>14</v>
      </c>
    </row>
    <row r="16" spans="1:4" ht="24.95" customHeight="1" x14ac:dyDescent="0.25">
      <c r="A16" s="5">
        <v>1</v>
      </c>
      <c r="B16" s="30" t="s">
        <v>169</v>
      </c>
      <c r="C16" s="7">
        <f>Total_Baiviet3</f>
        <v>960000</v>
      </c>
      <c r="D16" s="5" t="s">
        <v>15</v>
      </c>
    </row>
    <row r="17" spans="1:5" ht="24.95" customHeight="1" x14ac:dyDescent="0.25">
      <c r="A17" s="5">
        <v>2</v>
      </c>
      <c r="B17" s="30" t="s">
        <v>170</v>
      </c>
      <c r="C17" s="7">
        <f>Total_Hinhanh3</f>
        <v>2960000</v>
      </c>
      <c r="D17" s="5" t="s">
        <v>16</v>
      </c>
    </row>
    <row r="18" spans="1:5" ht="24.95" customHeight="1" x14ac:dyDescent="0.25">
      <c r="A18" s="5">
        <v>3</v>
      </c>
      <c r="B18" s="30" t="s">
        <v>171</v>
      </c>
      <c r="C18" s="7">
        <f>Total_Baiviet4</f>
        <v>120000</v>
      </c>
      <c r="D18" s="5" t="s">
        <v>17</v>
      </c>
    </row>
    <row r="19" spans="1:5" ht="24.95" customHeight="1" x14ac:dyDescent="0.25">
      <c r="A19" s="5">
        <v>4</v>
      </c>
      <c r="B19" s="30" t="s">
        <v>172</v>
      </c>
      <c r="C19" s="7">
        <f>Total_Hinhanh4</f>
        <v>70000</v>
      </c>
      <c r="D19" s="5" t="s">
        <v>18</v>
      </c>
    </row>
    <row r="20" spans="1:5" ht="24.95" customHeight="1" x14ac:dyDescent="0.25">
      <c r="A20" s="5">
        <v>5</v>
      </c>
      <c r="B20" s="30" t="s">
        <v>173</v>
      </c>
      <c r="C20" s="7">
        <f>Total_Baiviet5</f>
        <v>1200000</v>
      </c>
      <c r="D20" s="5" t="s">
        <v>19</v>
      </c>
    </row>
    <row r="21" spans="1:5" ht="24.95" customHeight="1" x14ac:dyDescent="0.25">
      <c r="A21" s="5">
        <v>6</v>
      </c>
      <c r="B21" s="30" t="s">
        <v>174</v>
      </c>
      <c r="C21" s="7">
        <f>Total_Hinhanh5</f>
        <v>130000</v>
      </c>
      <c r="D21" s="5" t="s">
        <v>20</v>
      </c>
    </row>
    <row r="22" spans="1:5" ht="24.95" customHeight="1" x14ac:dyDescent="0.25">
      <c r="A22" s="5">
        <v>7</v>
      </c>
      <c r="B22" s="30" t="s">
        <v>175</v>
      </c>
      <c r="C22" s="7">
        <f>Total_Baiviet6</f>
        <v>700000</v>
      </c>
      <c r="D22" s="5" t="s">
        <v>21</v>
      </c>
    </row>
    <row r="23" spans="1:5" ht="24.95" customHeight="1" x14ac:dyDescent="0.25">
      <c r="A23" s="5">
        <v>8</v>
      </c>
      <c r="B23" s="30" t="s">
        <v>176</v>
      </c>
      <c r="C23" s="7">
        <f>Total_Hinhanh6</f>
        <v>270000</v>
      </c>
      <c r="D23" s="5" t="s">
        <v>22</v>
      </c>
    </row>
    <row r="24" spans="1:5" ht="24.95" customHeight="1" x14ac:dyDescent="0.25">
      <c r="A24" s="5">
        <v>9</v>
      </c>
      <c r="B24" s="30" t="s">
        <v>23</v>
      </c>
      <c r="C24" s="7">
        <f>Total_BBT</f>
        <v>1400000</v>
      </c>
      <c r="D24" s="5" t="s">
        <v>24</v>
      </c>
    </row>
    <row r="25" spans="1:5" s="18" customFormat="1" ht="24.95" customHeight="1" x14ac:dyDescent="0.3">
      <c r="A25" s="15"/>
      <c r="B25" s="16" t="s">
        <v>25</v>
      </c>
      <c r="C25" s="17">
        <f>SUM(C16:C24)</f>
        <v>7810000</v>
      </c>
      <c r="D25" s="15"/>
    </row>
    <row r="26" spans="1:5" ht="18.75" customHeight="1" x14ac:dyDescent="0.3">
      <c r="A26" s="2"/>
      <c r="B26" s="2"/>
      <c r="C26" s="2"/>
      <c r="D26" s="2"/>
    </row>
    <row r="27" spans="1:5" ht="16.5" customHeight="1" x14ac:dyDescent="0.25">
      <c r="A27" s="9" t="s">
        <v>26</v>
      </c>
      <c r="B27" s="10"/>
      <c r="C27" s="10"/>
      <c r="D27" s="10"/>
    </row>
    <row r="28" spans="1:5" ht="16.5" customHeight="1" x14ac:dyDescent="0.25">
      <c r="A28" s="46" t="s">
        <v>208</v>
      </c>
      <c r="B28" s="10"/>
      <c r="C28" s="10"/>
      <c r="D28" s="10"/>
    </row>
    <row r="29" spans="1:5" ht="16.5" customHeight="1" x14ac:dyDescent="0.25">
      <c r="A29" s="9"/>
      <c r="B29" s="10"/>
      <c r="C29" s="10"/>
      <c r="D29" s="10"/>
    </row>
    <row r="30" spans="1:5" x14ac:dyDescent="0.25">
      <c r="A30" s="10"/>
      <c r="B30" s="10"/>
      <c r="C30" s="43" t="s">
        <v>27</v>
      </c>
      <c r="D30" s="43"/>
    </row>
    <row r="31" spans="1:5" x14ac:dyDescent="0.25">
      <c r="A31" s="10"/>
      <c r="B31" s="10"/>
      <c r="C31" s="10"/>
      <c r="D31" s="10"/>
    </row>
    <row r="32" spans="1:5" x14ac:dyDescent="0.25">
      <c r="A32" s="44" t="s">
        <v>45</v>
      </c>
      <c r="B32" s="44"/>
      <c r="C32" s="44"/>
      <c r="D32" s="44"/>
      <c r="E32" s="44"/>
    </row>
    <row r="37" spans="1:1" x14ac:dyDescent="0.25">
      <c r="A37" s="32" t="s">
        <v>190</v>
      </c>
    </row>
  </sheetData>
  <sheetProtection formatCells="0" formatColumns="0" formatRows="0" insertColumns="0" insertRows="0" insertHyperlinks="0" deleteColumns="0" deleteRows="0" sort="0" autoFilter="0" pivotTables="0"/>
  <mergeCells count="6">
    <mergeCell ref="A32:E32"/>
    <mergeCell ref="C1:D1"/>
    <mergeCell ref="C2:D3"/>
    <mergeCell ref="A5:D5"/>
    <mergeCell ref="A6:D6"/>
    <mergeCell ref="C30:D30"/>
  </mergeCells>
  <printOptions horizontalCentered="1"/>
  <pageMargins left="0.79" right="0.79" top="0.79" bottom="0.79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activeCell="D24" sqref="D24"/>
    </sheetView>
  </sheetViews>
  <sheetFormatPr defaultRowHeight="15.75" x14ac:dyDescent="0.25"/>
  <cols>
    <col min="1" max="1" width="5.25" customWidth="1"/>
    <col min="2" max="2" width="23" customWidth="1"/>
    <col min="3" max="3" width="23.875" customWidth="1"/>
    <col min="4" max="4" width="14.625" customWidth="1"/>
    <col min="5" max="5" width="12.625" customWidth="1"/>
    <col min="6" max="6" width="9" customWidth="1"/>
  </cols>
  <sheetData>
    <row r="1" spans="1:5" ht="32.1" customHeight="1" x14ac:dyDescent="0.3">
      <c r="A1" s="34" t="s">
        <v>28</v>
      </c>
      <c r="B1" s="34"/>
      <c r="C1" s="34"/>
      <c r="D1" s="34"/>
      <c r="E1" s="34"/>
    </row>
    <row r="2" spans="1:5" ht="18.75" customHeight="1" x14ac:dyDescent="0.3">
      <c r="A2" s="34" t="s">
        <v>179</v>
      </c>
      <c r="B2" s="34"/>
      <c r="C2" s="34"/>
      <c r="D2" s="34"/>
      <c r="E2" s="34"/>
    </row>
    <row r="3" spans="1:5" ht="24.95" customHeight="1" x14ac:dyDescent="0.25"/>
    <row r="4" spans="1:5" s="21" customFormat="1" ht="25.35" customHeight="1" x14ac:dyDescent="0.25">
      <c r="A4" s="15" t="s">
        <v>11</v>
      </c>
      <c r="B4" s="15" t="s">
        <v>29</v>
      </c>
      <c r="C4" s="25" t="s">
        <v>30</v>
      </c>
      <c r="D4" s="17" t="s">
        <v>31</v>
      </c>
      <c r="E4" s="15" t="s">
        <v>32</v>
      </c>
    </row>
    <row r="5" spans="1:5" ht="25.35" customHeight="1" x14ac:dyDescent="0.25">
      <c r="A5" s="4">
        <v>1</v>
      </c>
      <c r="B5" s="3" t="s">
        <v>33</v>
      </c>
      <c r="C5" s="6" t="s">
        <v>34</v>
      </c>
      <c r="D5" s="8">
        <v>300000</v>
      </c>
      <c r="E5" s="4"/>
    </row>
    <row r="6" spans="1:5" ht="25.35" customHeight="1" x14ac:dyDescent="0.25">
      <c r="A6" s="4">
        <v>2</v>
      </c>
      <c r="B6" s="3" t="s">
        <v>35</v>
      </c>
      <c r="C6" s="6" t="s">
        <v>36</v>
      </c>
      <c r="D6" s="8">
        <v>250000</v>
      </c>
      <c r="E6" s="4"/>
    </row>
    <row r="7" spans="1:5" ht="25.35" customHeight="1" x14ac:dyDescent="0.25">
      <c r="A7" s="4">
        <v>3</v>
      </c>
      <c r="B7" s="3" t="s">
        <v>37</v>
      </c>
      <c r="C7" s="6" t="s">
        <v>38</v>
      </c>
      <c r="D7" s="8">
        <v>150000</v>
      </c>
      <c r="E7" s="4"/>
    </row>
    <row r="8" spans="1:5" ht="25.35" customHeight="1" x14ac:dyDescent="0.25">
      <c r="A8" s="4">
        <v>4</v>
      </c>
      <c r="B8" s="3" t="s">
        <v>39</v>
      </c>
      <c r="C8" s="6" t="s">
        <v>38</v>
      </c>
      <c r="D8" s="8">
        <v>150000</v>
      </c>
      <c r="E8" s="4"/>
    </row>
    <row r="9" spans="1:5" ht="25.35" customHeight="1" x14ac:dyDescent="0.25">
      <c r="A9" s="4">
        <v>5</v>
      </c>
      <c r="B9" s="3" t="s">
        <v>40</v>
      </c>
      <c r="C9" s="6" t="s">
        <v>38</v>
      </c>
      <c r="D9" s="8">
        <v>150000</v>
      </c>
      <c r="E9" s="4"/>
    </row>
    <row r="10" spans="1:5" ht="25.35" customHeight="1" x14ac:dyDescent="0.25">
      <c r="A10" s="4">
        <v>6</v>
      </c>
      <c r="B10" s="3" t="s">
        <v>41</v>
      </c>
      <c r="C10" s="6" t="s">
        <v>38</v>
      </c>
      <c r="D10" s="8">
        <v>150000</v>
      </c>
      <c r="E10" s="4"/>
    </row>
    <row r="11" spans="1:5" ht="25.35" customHeight="1" x14ac:dyDescent="0.25">
      <c r="A11" s="4">
        <v>7</v>
      </c>
      <c r="B11" s="3" t="s">
        <v>42</v>
      </c>
      <c r="C11" s="6" t="s">
        <v>38</v>
      </c>
      <c r="D11" s="8">
        <v>150000</v>
      </c>
      <c r="E11" s="4"/>
    </row>
    <row r="12" spans="1:5" ht="33" x14ac:dyDescent="0.25">
      <c r="A12" s="4">
        <v>9</v>
      </c>
      <c r="B12" s="3" t="s">
        <v>44</v>
      </c>
      <c r="C12" s="6" t="s">
        <v>43</v>
      </c>
      <c r="D12" s="8">
        <v>100000</v>
      </c>
      <c r="E12" s="4"/>
    </row>
    <row r="13" spans="1:5" s="18" customFormat="1" ht="25.35" customHeight="1" x14ac:dyDescent="0.3">
      <c r="A13" s="19"/>
      <c r="B13" s="20"/>
      <c r="C13" s="15" t="s">
        <v>25</v>
      </c>
      <c r="D13" s="17">
        <f>SUM(D5:D12)</f>
        <v>1400000</v>
      </c>
      <c r="E13" s="19"/>
    </row>
    <row r="14" spans="1:5" ht="25.35" customHeight="1" x14ac:dyDescent="0.25">
      <c r="A14" s="10"/>
      <c r="B14" s="31" t="s">
        <v>180</v>
      </c>
      <c r="C14" s="12"/>
      <c r="D14" s="11"/>
      <c r="E14" s="12"/>
    </row>
    <row r="16" spans="1:5" x14ac:dyDescent="0.25">
      <c r="A16" s="44" t="s">
        <v>45</v>
      </c>
      <c r="B16" s="44"/>
      <c r="C16" s="44"/>
      <c r="D16" s="44"/>
      <c r="E16" s="44"/>
    </row>
    <row r="21" spans="1:1" x14ac:dyDescent="0.25">
      <c r="A21" s="32" t="s">
        <v>191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E1"/>
    <mergeCell ref="A2:E2"/>
    <mergeCell ref="A16:E16"/>
  </mergeCells>
  <printOptions horizontalCentered="1"/>
  <pageMargins left="0.78740157480314998" right="0.78740157480314998" top="0.78740157480314998" bottom="0.78740157480314998" header="0.5" footer="0.5"/>
  <pageSetup paperSize="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5"/>
  <sheetViews>
    <sheetView topLeftCell="A27" workbookViewId="0">
      <selection activeCell="F37" sqref="F37"/>
    </sheetView>
  </sheetViews>
  <sheetFormatPr defaultRowHeight="15.75" x14ac:dyDescent="0.25"/>
  <cols>
    <col min="1" max="1" width="5.75" customWidth="1"/>
    <col min="2" max="2" width="22.625" customWidth="1"/>
    <col min="3" max="3" width="13.25" bestFit="1" customWidth="1"/>
    <col min="4" max="4" width="38.875" customWidth="1"/>
    <col min="5" max="5" width="9.25" bestFit="1" customWidth="1"/>
    <col min="6" max="6" width="10.625" customWidth="1"/>
    <col min="7" max="7" width="12.125" bestFit="1" customWidth="1"/>
    <col min="8" max="8" width="10.875" customWidth="1"/>
  </cols>
  <sheetData>
    <row r="1" spans="1:8" ht="32.1" customHeight="1" x14ac:dyDescent="0.3">
      <c r="A1" s="34" t="s">
        <v>46</v>
      </c>
      <c r="B1" s="34"/>
      <c r="C1" s="34"/>
      <c r="D1" s="34"/>
      <c r="E1" s="34"/>
      <c r="F1" s="34"/>
      <c r="G1" s="34"/>
      <c r="H1" s="34"/>
    </row>
    <row r="2" spans="1:8" ht="18.75" customHeight="1" x14ac:dyDescent="0.3">
      <c r="A2" s="33" t="s">
        <v>181</v>
      </c>
      <c r="B2" s="33"/>
      <c r="C2" s="33"/>
      <c r="D2" s="33"/>
      <c r="E2" s="33"/>
      <c r="F2" s="33"/>
      <c r="G2" s="33"/>
      <c r="H2" s="33"/>
    </row>
    <row r="4" spans="1:8" s="21" customFormat="1" ht="27.75" customHeight="1" x14ac:dyDescent="0.25">
      <c r="A4" s="15" t="s">
        <v>11</v>
      </c>
      <c r="B4" s="25" t="s">
        <v>47</v>
      </c>
      <c r="C4" s="25" t="s">
        <v>48</v>
      </c>
      <c r="D4" s="25" t="s">
        <v>49</v>
      </c>
      <c r="E4" s="17" t="s">
        <v>50</v>
      </c>
      <c r="F4" s="15" t="s">
        <v>51</v>
      </c>
      <c r="G4" s="17" t="s">
        <v>31</v>
      </c>
      <c r="H4" s="15" t="s">
        <v>32</v>
      </c>
    </row>
    <row r="5" spans="1:8" ht="33" x14ac:dyDescent="0.25">
      <c r="A5" s="4">
        <v>1</v>
      </c>
      <c r="B5" s="14" t="s">
        <v>52</v>
      </c>
      <c r="C5" s="6" t="s">
        <v>53</v>
      </c>
      <c r="D5" s="22" t="s">
        <v>54</v>
      </c>
      <c r="E5" s="8">
        <v>30000</v>
      </c>
      <c r="F5" s="4">
        <v>1</v>
      </c>
      <c r="G5" s="8">
        <v>30000</v>
      </c>
      <c r="H5" s="4"/>
    </row>
    <row r="6" spans="1:8" ht="49.5" x14ac:dyDescent="0.25">
      <c r="A6" s="4">
        <v>2</v>
      </c>
      <c r="B6" s="14" t="s">
        <v>55</v>
      </c>
      <c r="C6" s="6" t="s">
        <v>56</v>
      </c>
      <c r="D6" s="22" t="s">
        <v>57</v>
      </c>
      <c r="E6" s="8">
        <v>30000</v>
      </c>
      <c r="F6" s="4">
        <v>1</v>
      </c>
      <c r="G6" s="8">
        <v>30000</v>
      </c>
      <c r="H6" s="4"/>
    </row>
    <row r="7" spans="1:8" ht="49.5" x14ac:dyDescent="0.25">
      <c r="A7" s="4">
        <v>3</v>
      </c>
      <c r="B7" s="14" t="s">
        <v>58</v>
      </c>
      <c r="C7" s="6" t="s">
        <v>59</v>
      </c>
      <c r="D7" s="22" t="s">
        <v>60</v>
      </c>
      <c r="E7" s="8">
        <v>30000</v>
      </c>
      <c r="F7" s="4">
        <v>1</v>
      </c>
      <c r="G7" s="8">
        <v>30000</v>
      </c>
      <c r="H7" s="4"/>
    </row>
    <row r="8" spans="1:8" ht="49.5" x14ac:dyDescent="0.25">
      <c r="A8" s="4">
        <v>4</v>
      </c>
      <c r="B8" s="14" t="s">
        <v>192</v>
      </c>
      <c r="C8" s="6" t="s">
        <v>61</v>
      </c>
      <c r="D8" s="22" t="s">
        <v>62</v>
      </c>
      <c r="E8" s="8">
        <v>30000</v>
      </c>
      <c r="F8" s="4">
        <v>1</v>
      </c>
      <c r="G8" s="8">
        <v>30000</v>
      </c>
      <c r="H8" s="4"/>
    </row>
    <row r="9" spans="1:8" ht="33" x14ac:dyDescent="0.25">
      <c r="A9" s="4">
        <v>5</v>
      </c>
      <c r="B9" s="14" t="s">
        <v>193</v>
      </c>
      <c r="C9" s="6" t="s">
        <v>194</v>
      </c>
      <c r="D9" s="22" t="s">
        <v>63</v>
      </c>
      <c r="E9" s="8">
        <v>30000</v>
      </c>
      <c r="F9" s="4">
        <v>1</v>
      </c>
      <c r="G9" s="8">
        <v>30000</v>
      </c>
      <c r="H9" s="4"/>
    </row>
    <row r="10" spans="1:8" ht="33" x14ac:dyDescent="0.25">
      <c r="A10" s="4">
        <v>6</v>
      </c>
      <c r="B10" s="14" t="s">
        <v>64</v>
      </c>
      <c r="C10" s="6" t="s">
        <v>65</v>
      </c>
      <c r="D10" s="22" t="s">
        <v>66</v>
      </c>
      <c r="E10" s="8">
        <v>30000</v>
      </c>
      <c r="F10" s="4">
        <v>1</v>
      </c>
      <c r="G10" s="8">
        <v>30000</v>
      </c>
      <c r="H10" s="4"/>
    </row>
    <row r="11" spans="1:8" ht="49.5" x14ac:dyDescent="0.25">
      <c r="A11" s="4">
        <v>7</v>
      </c>
      <c r="B11" s="14" t="s">
        <v>195</v>
      </c>
      <c r="C11" s="6" t="s">
        <v>197</v>
      </c>
      <c r="D11" s="22" t="s">
        <v>68</v>
      </c>
      <c r="E11" s="8">
        <v>30000</v>
      </c>
      <c r="F11" s="4">
        <v>1</v>
      </c>
      <c r="G11" s="8">
        <v>30000</v>
      </c>
      <c r="H11" s="4"/>
    </row>
    <row r="12" spans="1:8" ht="49.5" x14ac:dyDescent="0.25">
      <c r="A12" s="4">
        <v>8</v>
      </c>
      <c r="B12" s="14" t="s">
        <v>69</v>
      </c>
      <c r="C12" s="6" t="s">
        <v>70</v>
      </c>
      <c r="D12" s="22" t="s">
        <v>71</v>
      </c>
      <c r="E12" s="8">
        <v>30000</v>
      </c>
      <c r="F12" s="4">
        <v>1</v>
      </c>
      <c r="G12" s="8">
        <v>30000</v>
      </c>
      <c r="H12" s="4"/>
    </row>
    <row r="13" spans="1:8" ht="33" x14ac:dyDescent="0.25">
      <c r="A13" s="4">
        <v>9</v>
      </c>
      <c r="B13" s="14" t="s">
        <v>196</v>
      </c>
      <c r="C13" s="6" t="s">
        <v>70</v>
      </c>
      <c r="D13" s="22" t="s">
        <v>72</v>
      </c>
      <c r="E13" s="8">
        <v>30000</v>
      </c>
      <c r="F13" s="4">
        <v>1</v>
      </c>
      <c r="G13" s="8">
        <v>30000</v>
      </c>
      <c r="H13" s="4"/>
    </row>
    <row r="14" spans="1:8" ht="33" x14ac:dyDescent="0.25">
      <c r="A14" s="4">
        <v>10</v>
      </c>
      <c r="B14" s="14" t="s">
        <v>73</v>
      </c>
      <c r="C14" s="6" t="s">
        <v>74</v>
      </c>
      <c r="D14" s="22" t="s">
        <v>75</v>
      </c>
      <c r="E14" s="8">
        <v>30000</v>
      </c>
      <c r="F14" s="4">
        <v>1</v>
      </c>
      <c r="G14" s="8">
        <v>30000</v>
      </c>
      <c r="H14" s="4"/>
    </row>
    <row r="15" spans="1:8" ht="33" x14ac:dyDescent="0.25">
      <c r="A15" s="4">
        <v>11</v>
      </c>
      <c r="B15" s="14" t="s">
        <v>76</v>
      </c>
      <c r="C15" s="6" t="s">
        <v>77</v>
      </c>
      <c r="D15" s="22" t="s">
        <v>78</v>
      </c>
      <c r="E15" s="8">
        <v>30000</v>
      </c>
      <c r="F15" s="4">
        <v>1</v>
      </c>
      <c r="G15" s="8">
        <v>30000</v>
      </c>
      <c r="H15" s="4"/>
    </row>
    <row r="16" spans="1:8" ht="49.5" x14ac:dyDescent="0.25">
      <c r="A16" s="4">
        <v>12</v>
      </c>
      <c r="B16" s="14" t="s">
        <v>79</v>
      </c>
      <c r="C16" s="6" t="s">
        <v>198</v>
      </c>
      <c r="D16" s="22" t="s">
        <v>80</v>
      </c>
      <c r="E16" s="8">
        <v>30000</v>
      </c>
      <c r="F16" s="4">
        <v>1</v>
      </c>
      <c r="G16" s="8">
        <v>30000</v>
      </c>
      <c r="H16" s="4"/>
    </row>
    <row r="17" spans="1:8" ht="33" x14ac:dyDescent="0.25">
      <c r="A17" s="4">
        <v>13</v>
      </c>
      <c r="B17" s="14" t="s">
        <v>81</v>
      </c>
      <c r="C17" s="6" t="s">
        <v>82</v>
      </c>
      <c r="D17" s="22" t="s">
        <v>83</v>
      </c>
      <c r="E17" s="8">
        <v>30000</v>
      </c>
      <c r="F17" s="4">
        <v>1</v>
      </c>
      <c r="G17" s="8">
        <v>30000</v>
      </c>
      <c r="H17" s="4"/>
    </row>
    <row r="18" spans="1:8" ht="33" x14ac:dyDescent="0.25">
      <c r="A18" s="4">
        <v>14</v>
      </c>
      <c r="B18" s="14" t="s">
        <v>84</v>
      </c>
      <c r="C18" s="6" t="s">
        <v>85</v>
      </c>
      <c r="D18" s="22" t="s">
        <v>86</v>
      </c>
      <c r="E18" s="8">
        <v>30000</v>
      </c>
      <c r="F18" s="4">
        <v>1</v>
      </c>
      <c r="G18" s="8">
        <v>30000</v>
      </c>
      <c r="H18" s="4"/>
    </row>
    <row r="19" spans="1:8" ht="33" x14ac:dyDescent="0.25">
      <c r="A19" s="4">
        <v>15</v>
      </c>
      <c r="B19" s="14" t="s">
        <v>76</v>
      </c>
      <c r="C19" s="6" t="s">
        <v>77</v>
      </c>
      <c r="D19" s="22" t="s">
        <v>87</v>
      </c>
      <c r="E19" s="8">
        <v>30000</v>
      </c>
      <c r="F19" s="4">
        <v>1</v>
      </c>
      <c r="G19" s="8">
        <v>30000</v>
      </c>
      <c r="H19" s="4"/>
    </row>
    <row r="20" spans="1:8" ht="33" x14ac:dyDescent="0.25">
      <c r="A20" s="4">
        <v>16</v>
      </c>
      <c r="B20" s="14" t="s">
        <v>67</v>
      </c>
      <c r="C20" s="6" t="s">
        <v>199</v>
      </c>
      <c r="D20" s="22" t="s">
        <v>88</v>
      </c>
      <c r="E20" s="8">
        <v>30000</v>
      </c>
      <c r="F20" s="4">
        <v>1</v>
      </c>
      <c r="G20" s="8">
        <v>30000</v>
      </c>
      <c r="H20" s="4"/>
    </row>
    <row r="21" spans="1:8" ht="33" x14ac:dyDescent="0.25">
      <c r="A21" s="4">
        <v>17</v>
      </c>
      <c r="B21" s="14" t="s">
        <v>89</v>
      </c>
      <c r="C21" s="6" t="s">
        <v>90</v>
      </c>
      <c r="D21" s="22" t="s">
        <v>91</v>
      </c>
      <c r="E21" s="8">
        <v>30000</v>
      </c>
      <c r="F21" s="4">
        <v>1</v>
      </c>
      <c r="G21" s="8">
        <v>30000</v>
      </c>
      <c r="H21" s="4"/>
    </row>
    <row r="22" spans="1:8" ht="33" x14ac:dyDescent="0.25">
      <c r="A22" s="4">
        <v>18</v>
      </c>
      <c r="B22" s="14" t="s">
        <v>89</v>
      </c>
      <c r="C22" s="6" t="s">
        <v>90</v>
      </c>
      <c r="D22" s="22" t="s">
        <v>91</v>
      </c>
      <c r="E22" s="8">
        <v>30000</v>
      </c>
      <c r="F22" s="4">
        <v>1</v>
      </c>
      <c r="G22" s="8">
        <v>30000</v>
      </c>
      <c r="H22" s="4"/>
    </row>
    <row r="23" spans="1:8" ht="33" x14ac:dyDescent="0.25">
      <c r="A23" s="4">
        <v>19</v>
      </c>
      <c r="B23" s="14" t="s">
        <v>41</v>
      </c>
      <c r="C23" s="6" t="s">
        <v>92</v>
      </c>
      <c r="D23" s="22" t="s">
        <v>93</v>
      </c>
      <c r="E23" s="8">
        <v>30000</v>
      </c>
      <c r="F23" s="4">
        <v>1</v>
      </c>
      <c r="G23" s="8">
        <v>30000</v>
      </c>
      <c r="H23" s="4"/>
    </row>
    <row r="24" spans="1:8" ht="33" x14ac:dyDescent="0.25">
      <c r="A24" s="4">
        <v>20</v>
      </c>
      <c r="B24" s="14" t="s">
        <v>94</v>
      </c>
      <c r="C24" s="6" t="s">
        <v>95</v>
      </c>
      <c r="D24" s="22" t="s">
        <v>96</v>
      </c>
      <c r="E24" s="8">
        <v>30000</v>
      </c>
      <c r="F24" s="4">
        <v>1</v>
      </c>
      <c r="G24" s="8">
        <v>30000</v>
      </c>
      <c r="H24" s="4"/>
    </row>
    <row r="25" spans="1:8" ht="33" x14ac:dyDescent="0.25">
      <c r="A25" s="4">
        <v>21</v>
      </c>
      <c r="B25" s="14" t="s">
        <v>97</v>
      </c>
      <c r="C25" s="6" t="s">
        <v>98</v>
      </c>
      <c r="D25" s="22" t="s">
        <v>99</v>
      </c>
      <c r="E25" s="8">
        <v>30000</v>
      </c>
      <c r="F25" s="4">
        <v>1</v>
      </c>
      <c r="G25" s="8">
        <v>30000</v>
      </c>
      <c r="H25" s="4"/>
    </row>
    <row r="26" spans="1:8" ht="33" x14ac:dyDescent="0.25">
      <c r="A26" s="4">
        <v>22</v>
      </c>
      <c r="B26" s="14" t="s">
        <v>100</v>
      </c>
      <c r="C26" s="6" t="s">
        <v>101</v>
      </c>
      <c r="D26" s="22" t="s">
        <v>102</v>
      </c>
      <c r="E26" s="8">
        <v>30000</v>
      </c>
      <c r="F26" s="4">
        <v>1</v>
      </c>
      <c r="G26" s="8">
        <v>30000</v>
      </c>
      <c r="H26" s="4"/>
    </row>
    <row r="27" spans="1:8" ht="33" x14ac:dyDescent="0.25">
      <c r="A27" s="4">
        <v>23</v>
      </c>
      <c r="B27" s="14" t="s">
        <v>100</v>
      </c>
      <c r="C27" s="6" t="s">
        <v>101</v>
      </c>
      <c r="D27" s="22" t="s">
        <v>103</v>
      </c>
      <c r="E27" s="8">
        <v>30000</v>
      </c>
      <c r="F27" s="4">
        <v>1</v>
      </c>
      <c r="G27" s="8">
        <v>30000</v>
      </c>
      <c r="H27" s="4"/>
    </row>
    <row r="28" spans="1:8" ht="49.5" x14ac:dyDescent="0.25">
      <c r="A28" s="4">
        <v>24</v>
      </c>
      <c r="B28" s="14" t="s">
        <v>104</v>
      </c>
      <c r="C28" s="6" t="s">
        <v>105</v>
      </c>
      <c r="D28" s="22" t="s">
        <v>106</v>
      </c>
      <c r="E28" s="8">
        <v>30000</v>
      </c>
      <c r="F28" s="4">
        <v>1</v>
      </c>
      <c r="G28" s="8">
        <v>30000</v>
      </c>
      <c r="H28" s="4"/>
    </row>
    <row r="29" spans="1:8" ht="49.5" x14ac:dyDescent="0.25">
      <c r="A29" s="4">
        <v>25</v>
      </c>
      <c r="B29" s="14" t="s">
        <v>107</v>
      </c>
      <c r="C29" s="6" t="s">
        <v>108</v>
      </c>
      <c r="D29" s="22" t="s">
        <v>109</v>
      </c>
      <c r="E29" s="8">
        <v>30000</v>
      </c>
      <c r="F29" s="4">
        <v>1</v>
      </c>
      <c r="G29" s="8">
        <v>30000</v>
      </c>
      <c r="H29" s="4"/>
    </row>
    <row r="30" spans="1:8" ht="49.5" x14ac:dyDescent="0.25">
      <c r="A30" s="4">
        <v>26</v>
      </c>
      <c r="B30" s="14" t="s">
        <v>107</v>
      </c>
      <c r="C30" s="6" t="s">
        <v>108</v>
      </c>
      <c r="D30" s="22" t="s">
        <v>110</v>
      </c>
      <c r="E30" s="8">
        <v>30000</v>
      </c>
      <c r="F30" s="4">
        <v>1</v>
      </c>
      <c r="G30" s="8">
        <v>30000</v>
      </c>
      <c r="H30" s="4"/>
    </row>
    <row r="31" spans="1:8" ht="33" x14ac:dyDescent="0.25">
      <c r="A31" s="4">
        <v>27</v>
      </c>
      <c r="B31" s="14" t="s">
        <v>111</v>
      </c>
      <c r="C31" s="6" t="s">
        <v>112</v>
      </c>
      <c r="D31" s="22" t="s">
        <v>113</v>
      </c>
      <c r="E31" s="8">
        <v>30000</v>
      </c>
      <c r="F31" s="4">
        <v>1</v>
      </c>
      <c r="G31" s="8">
        <v>30000</v>
      </c>
      <c r="H31" s="4"/>
    </row>
    <row r="32" spans="1:8" ht="33" x14ac:dyDescent="0.25">
      <c r="A32" s="4">
        <v>28</v>
      </c>
      <c r="B32" s="14" t="s">
        <v>111</v>
      </c>
      <c r="C32" s="6" t="s">
        <v>112</v>
      </c>
      <c r="D32" s="22" t="s">
        <v>114</v>
      </c>
      <c r="E32" s="8">
        <v>30000</v>
      </c>
      <c r="F32" s="4">
        <v>1</v>
      </c>
      <c r="G32" s="8">
        <v>30000</v>
      </c>
      <c r="H32" s="4"/>
    </row>
    <row r="33" spans="1:8" ht="33" x14ac:dyDescent="0.25">
      <c r="A33" s="4">
        <v>29</v>
      </c>
      <c r="B33" s="14" t="s">
        <v>111</v>
      </c>
      <c r="C33" s="6" t="s">
        <v>112</v>
      </c>
      <c r="D33" s="22" t="s">
        <v>115</v>
      </c>
      <c r="E33" s="8">
        <v>30000</v>
      </c>
      <c r="F33" s="4">
        <v>1</v>
      </c>
      <c r="G33" s="8">
        <v>30000</v>
      </c>
      <c r="H33" s="4"/>
    </row>
    <row r="34" spans="1:8" ht="33" x14ac:dyDescent="0.25">
      <c r="A34" s="4">
        <v>30</v>
      </c>
      <c r="B34" s="14" t="s">
        <v>111</v>
      </c>
      <c r="C34" s="6" t="s">
        <v>112</v>
      </c>
      <c r="D34" s="22" t="s">
        <v>116</v>
      </c>
      <c r="E34" s="8">
        <v>30000</v>
      </c>
      <c r="F34" s="4">
        <v>1</v>
      </c>
      <c r="G34" s="8">
        <v>30000</v>
      </c>
      <c r="H34" s="4"/>
    </row>
    <row r="35" spans="1:8" ht="33" x14ac:dyDescent="0.25">
      <c r="A35" s="4">
        <v>31</v>
      </c>
      <c r="B35" s="14" t="s">
        <v>111</v>
      </c>
      <c r="C35" s="6" t="s">
        <v>112</v>
      </c>
      <c r="D35" s="22" t="s">
        <v>117</v>
      </c>
      <c r="E35" s="8">
        <v>30000</v>
      </c>
      <c r="F35" s="4">
        <v>1</v>
      </c>
      <c r="G35" s="8">
        <v>30000</v>
      </c>
      <c r="H35" s="4"/>
    </row>
    <row r="36" spans="1:8" ht="49.5" x14ac:dyDescent="0.25">
      <c r="A36" s="4">
        <v>32</v>
      </c>
      <c r="B36" s="14" t="s">
        <v>111</v>
      </c>
      <c r="C36" s="6" t="s">
        <v>112</v>
      </c>
      <c r="D36" s="22" t="s">
        <v>118</v>
      </c>
      <c r="E36" s="8">
        <v>30000</v>
      </c>
      <c r="F36" s="4">
        <v>1</v>
      </c>
      <c r="G36" s="8">
        <v>30000</v>
      </c>
      <c r="H36" s="4"/>
    </row>
    <row r="37" spans="1:8" s="18" customFormat="1" ht="27.75" customHeight="1" x14ac:dyDescent="0.3">
      <c r="A37" s="23"/>
      <c r="B37" s="24"/>
      <c r="C37" s="24"/>
      <c r="D37" s="25" t="s">
        <v>25</v>
      </c>
      <c r="E37" s="24"/>
      <c r="F37" s="45">
        <f>SUM(F5:F36)</f>
        <v>32</v>
      </c>
      <c r="G37" s="17">
        <f>SUM(G5:G36)</f>
        <v>960000</v>
      </c>
      <c r="H37" s="24"/>
    </row>
    <row r="38" spans="1:8" s="13" customFormat="1" ht="21" customHeight="1" x14ac:dyDescent="0.25">
      <c r="D38" s="26" t="s">
        <v>200</v>
      </c>
      <c r="E38" s="27"/>
    </row>
    <row r="40" spans="1:8" ht="16.5" customHeight="1" x14ac:dyDescent="0.25">
      <c r="A40" s="35" t="s">
        <v>119</v>
      </c>
      <c r="B40" s="35"/>
      <c r="C40" s="35"/>
      <c r="D40" s="35"/>
      <c r="E40" s="35"/>
      <c r="F40" s="35"/>
      <c r="G40" s="35"/>
      <c r="H40" s="35"/>
    </row>
    <row r="45" spans="1:8" x14ac:dyDescent="0.25">
      <c r="A45" s="32" t="s">
        <v>189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2:H2"/>
    <mergeCell ref="A1:H1"/>
    <mergeCell ref="A40:H40"/>
  </mergeCells>
  <printOptions horizontalCentered="1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5"/>
  <sheetViews>
    <sheetView topLeftCell="A31" workbookViewId="0">
      <selection activeCell="F38" sqref="F38"/>
    </sheetView>
  </sheetViews>
  <sheetFormatPr defaultRowHeight="15.75" x14ac:dyDescent="0.25"/>
  <cols>
    <col min="1" max="1" width="5.75" customWidth="1"/>
    <col min="2" max="2" width="22.625" customWidth="1"/>
    <col min="3" max="3" width="12.625" customWidth="1"/>
    <col min="4" max="4" width="30.625" customWidth="1"/>
    <col min="5" max="5" width="9.25" bestFit="1" customWidth="1"/>
    <col min="6" max="6" width="10.625" customWidth="1"/>
    <col min="7" max="7" width="13" bestFit="1" customWidth="1"/>
    <col min="8" max="8" width="9.625" customWidth="1"/>
  </cols>
  <sheetData>
    <row r="1" spans="1:8" ht="32.1" customHeight="1" x14ac:dyDescent="0.3">
      <c r="A1" s="34" t="s">
        <v>46</v>
      </c>
      <c r="B1" s="34"/>
      <c r="C1" s="34"/>
      <c r="D1" s="34"/>
      <c r="E1" s="34"/>
      <c r="F1" s="34"/>
      <c r="G1" s="34"/>
      <c r="H1" s="34"/>
    </row>
    <row r="2" spans="1:8" ht="18.75" customHeight="1" x14ac:dyDescent="0.3">
      <c r="A2" s="33" t="s">
        <v>182</v>
      </c>
      <c r="B2" s="33"/>
      <c r="C2" s="33"/>
      <c r="D2" s="33"/>
      <c r="E2" s="33"/>
      <c r="F2" s="33"/>
      <c r="G2" s="33"/>
      <c r="H2" s="33"/>
    </row>
    <row r="4" spans="1:8" s="21" customFormat="1" ht="27.75" customHeight="1" x14ac:dyDescent="0.25">
      <c r="A4" s="15" t="s">
        <v>11</v>
      </c>
      <c r="B4" s="25" t="s">
        <v>47</v>
      </c>
      <c r="C4" s="25" t="s">
        <v>48</v>
      </c>
      <c r="D4" s="25" t="s">
        <v>49</v>
      </c>
      <c r="E4" s="17" t="s">
        <v>50</v>
      </c>
      <c r="F4" s="15" t="s">
        <v>51</v>
      </c>
      <c r="G4" s="17" t="s">
        <v>31</v>
      </c>
      <c r="H4" s="15" t="s">
        <v>32</v>
      </c>
    </row>
    <row r="5" spans="1:8" ht="33" x14ac:dyDescent="0.25">
      <c r="A5" s="4">
        <v>1</v>
      </c>
      <c r="B5" s="14" t="s">
        <v>52</v>
      </c>
      <c r="C5" s="6" t="s">
        <v>53</v>
      </c>
      <c r="D5" s="22" t="s">
        <v>54</v>
      </c>
      <c r="E5" s="8">
        <v>10000</v>
      </c>
      <c r="F5" s="4">
        <v>4</v>
      </c>
      <c r="G5" s="8">
        <v>40000</v>
      </c>
      <c r="H5" s="4"/>
    </row>
    <row r="6" spans="1:8" ht="49.5" x14ac:dyDescent="0.25">
      <c r="A6" s="4">
        <v>2</v>
      </c>
      <c r="B6" s="14" t="s">
        <v>55</v>
      </c>
      <c r="C6" s="6" t="s">
        <v>56</v>
      </c>
      <c r="D6" s="22" t="s">
        <v>57</v>
      </c>
      <c r="E6" s="8">
        <v>10000</v>
      </c>
      <c r="F6" s="4">
        <v>7</v>
      </c>
      <c r="G6" s="8">
        <v>70000</v>
      </c>
      <c r="H6" s="4"/>
    </row>
    <row r="7" spans="1:8" ht="66" x14ac:dyDescent="0.25">
      <c r="A7" s="4">
        <v>3</v>
      </c>
      <c r="B7" s="14" t="s">
        <v>58</v>
      </c>
      <c r="C7" s="6" t="s">
        <v>59</v>
      </c>
      <c r="D7" s="22" t="s">
        <v>60</v>
      </c>
      <c r="E7" s="8">
        <v>10000</v>
      </c>
      <c r="F7" s="4">
        <v>7</v>
      </c>
      <c r="G7" s="8">
        <v>70000</v>
      </c>
      <c r="H7" s="4"/>
    </row>
    <row r="8" spans="1:8" ht="49.5" x14ac:dyDescent="0.25">
      <c r="A8" s="4">
        <v>4</v>
      </c>
      <c r="B8" s="14" t="s">
        <v>192</v>
      </c>
      <c r="C8" s="6" t="s">
        <v>61</v>
      </c>
      <c r="D8" s="22" t="s">
        <v>62</v>
      </c>
      <c r="E8" s="8">
        <v>10000</v>
      </c>
      <c r="F8" s="4">
        <v>11</v>
      </c>
      <c r="G8" s="8">
        <v>110000</v>
      </c>
      <c r="H8" s="4"/>
    </row>
    <row r="9" spans="1:8" ht="49.5" x14ac:dyDescent="0.25">
      <c r="A9" s="4">
        <v>5</v>
      </c>
      <c r="B9" s="14" t="s">
        <v>193</v>
      </c>
      <c r="C9" s="6" t="s">
        <v>194</v>
      </c>
      <c r="D9" s="22" t="s">
        <v>63</v>
      </c>
      <c r="E9" s="8">
        <v>10000</v>
      </c>
      <c r="F9" s="4">
        <v>6</v>
      </c>
      <c r="G9" s="8">
        <v>60000</v>
      </c>
      <c r="H9" s="4"/>
    </row>
    <row r="10" spans="1:8" ht="49.5" x14ac:dyDescent="0.25">
      <c r="A10" s="4">
        <v>6</v>
      </c>
      <c r="B10" s="14" t="s">
        <v>64</v>
      </c>
      <c r="C10" s="6" t="s">
        <v>65</v>
      </c>
      <c r="D10" s="22" t="s">
        <v>66</v>
      </c>
      <c r="E10" s="8">
        <v>10000</v>
      </c>
      <c r="F10" s="4">
        <v>6</v>
      </c>
      <c r="G10" s="8">
        <v>60000</v>
      </c>
      <c r="H10" s="4"/>
    </row>
    <row r="11" spans="1:8" ht="66" x14ac:dyDescent="0.25">
      <c r="A11" s="4">
        <v>7</v>
      </c>
      <c r="B11" s="14" t="s">
        <v>195</v>
      </c>
      <c r="C11" s="6" t="s">
        <v>197</v>
      </c>
      <c r="D11" s="22" t="s">
        <v>68</v>
      </c>
      <c r="E11" s="8">
        <v>10000</v>
      </c>
      <c r="F11" s="4">
        <v>7</v>
      </c>
      <c r="G11" s="8">
        <v>70000</v>
      </c>
      <c r="H11" s="4"/>
    </row>
    <row r="12" spans="1:8" ht="49.5" x14ac:dyDescent="0.25">
      <c r="A12" s="4">
        <v>8</v>
      </c>
      <c r="B12" s="14" t="s">
        <v>69</v>
      </c>
      <c r="C12" s="6" t="s">
        <v>70</v>
      </c>
      <c r="D12" s="22" t="s">
        <v>71</v>
      </c>
      <c r="E12" s="8">
        <v>10000</v>
      </c>
      <c r="F12" s="4">
        <v>6</v>
      </c>
      <c r="G12" s="8">
        <v>60000</v>
      </c>
      <c r="H12" s="4"/>
    </row>
    <row r="13" spans="1:8" ht="33" x14ac:dyDescent="0.25">
      <c r="A13" s="4">
        <v>9</v>
      </c>
      <c r="B13" s="14" t="s">
        <v>196</v>
      </c>
      <c r="C13" s="6" t="s">
        <v>70</v>
      </c>
      <c r="D13" s="22" t="s">
        <v>72</v>
      </c>
      <c r="E13" s="8">
        <v>10000</v>
      </c>
      <c r="F13" s="4">
        <v>10</v>
      </c>
      <c r="G13" s="8">
        <v>100000</v>
      </c>
      <c r="H13" s="4"/>
    </row>
    <row r="14" spans="1:8" ht="49.5" x14ac:dyDescent="0.25">
      <c r="A14" s="4">
        <v>10</v>
      </c>
      <c r="B14" s="14" t="s">
        <v>73</v>
      </c>
      <c r="C14" s="6" t="s">
        <v>74</v>
      </c>
      <c r="D14" s="22" t="s">
        <v>75</v>
      </c>
      <c r="E14" s="8">
        <v>10000</v>
      </c>
      <c r="F14" s="4">
        <v>7</v>
      </c>
      <c r="G14" s="8">
        <v>70000</v>
      </c>
      <c r="H14" s="4"/>
    </row>
    <row r="15" spans="1:8" ht="49.5" x14ac:dyDescent="0.25">
      <c r="A15" s="4">
        <v>11</v>
      </c>
      <c r="B15" s="14" t="s">
        <v>76</v>
      </c>
      <c r="C15" s="6" t="s">
        <v>77</v>
      </c>
      <c r="D15" s="22" t="s">
        <v>78</v>
      </c>
      <c r="E15" s="8">
        <v>10000</v>
      </c>
      <c r="F15" s="4">
        <v>6</v>
      </c>
      <c r="G15" s="8">
        <v>60000</v>
      </c>
      <c r="H15" s="4"/>
    </row>
    <row r="16" spans="1:8" ht="66" x14ac:dyDescent="0.25">
      <c r="A16" s="4">
        <v>12</v>
      </c>
      <c r="B16" s="14" t="s">
        <v>79</v>
      </c>
      <c r="C16" s="6" t="s">
        <v>198</v>
      </c>
      <c r="D16" s="22" t="s">
        <v>80</v>
      </c>
      <c r="E16" s="8">
        <v>10000</v>
      </c>
      <c r="F16" s="4">
        <v>27</v>
      </c>
      <c r="G16" s="8">
        <v>270000</v>
      </c>
      <c r="H16" s="4"/>
    </row>
    <row r="17" spans="1:8" ht="49.5" x14ac:dyDescent="0.25">
      <c r="A17" s="4">
        <v>13</v>
      </c>
      <c r="B17" s="14" t="s">
        <v>81</v>
      </c>
      <c r="C17" s="6" t="s">
        <v>82</v>
      </c>
      <c r="D17" s="22" t="s">
        <v>83</v>
      </c>
      <c r="E17" s="8">
        <v>10000</v>
      </c>
      <c r="F17" s="4">
        <v>6</v>
      </c>
      <c r="G17" s="8">
        <v>60000</v>
      </c>
      <c r="H17" s="4"/>
    </row>
    <row r="18" spans="1:8" ht="33" x14ac:dyDescent="0.25">
      <c r="A18" s="4">
        <v>14</v>
      </c>
      <c r="B18" s="14" t="s">
        <v>84</v>
      </c>
      <c r="C18" s="6" t="s">
        <v>85</v>
      </c>
      <c r="D18" s="22" t="s">
        <v>86</v>
      </c>
      <c r="E18" s="8">
        <v>10000</v>
      </c>
      <c r="F18" s="4">
        <v>6</v>
      </c>
      <c r="G18" s="8">
        <v>60000</v>
      </c>
      <c r="H18" s="4"/>
    </row>
    <row r="19" spans="1:8" ht="49.5" x14ac:dyDescent="0.25">
      <c r="A19" s="4">
        <v>15</v>
      </c>
      <c r="B19" s="14" t="s">
        <v>76</v>
      </c>
      <c r="C19" s="6" t="s">
        <v>77</v>
      </c>
      <c r="D19" s="22" t="s">
        <v>87</v>
      </c>
      <c r="E19" s="8">
        <v>10000</v>
      </c>
      <c r="F19" s="4">
        <v>13</v>
      </c>
      <c r="G19" s="8">
        <v>130000</v>
      </c>
      <c r="H19" s="4"/>
    </row>
    <row r="20" spans="1:8" ht="49.5" x14ac:dyDescent="0.25">
      <c r="A20" s="4">
        <v>16</v>
      </c>
      <c r="B20" s="14" t="s">
        <v>67</v>
      </c>
      <c r="C20" s="6" t="s">
        <v>199</v>
      </c>
      <c r="D20" s="22" t="s">
        <v>88</v>
      </c>
      <c r="E20" s="8">
        <v>10000</v>
      </c>
      <c r="F20" s="4">
        <v>12</v>
      </c>
      <c r="G20" s="8">
        <v>120000</v>
      </c>
      <c r="H20" s="4"/>
    </row>
    <row r="21" spans="1:8" ht="49.5" x14ac:dyDescent="0.25">
      <c r="A21" s="4">
        <v>17</v>
      </c>
      <c r="B21" s="14" t="s">
        <v>89</v>
      </c>
      <c r="C21" s="6" t="s">
        <v>90</v>
      </c>
      <c r="D21" s="22" t="s">
        <v>91</v>
      </c>
      <c r="E21" s="8">
        <v>10000</v>
      </c>
      <c r="F21" s="4">
        <v>14</v>
      </c>
      <c r="G21" s="8">
        <v>140000</v>
      </c>
      <c r="H21" s="4"/>
    </row>
    <row r="22" spans="1:8" ht="49.5" x14ac:dyDescent="0.25">
      <c r="A22" s="4">
        <v>18</v>
      </c>
      <c r="B22" s="14" t="s">
        <v>89</v>
      </c>
      <c r="C22" s="6" t="s">
        <v>90</v>
      </c>
      <c r="D22" s="22" t="s">
        <v>91</v>
      </c>
      <c r="E22" s="8">
        <v>10000</v>
      </c>
      <c r="F22" s="4">
        <v>14</v>
      </c>
      <c r="G22" s="8">
        <v>140000</v>
      </c>
      <c r="H22" s="4"/>
    </row>
    <row r="23" spans="1:8" ht="49.5" x14ac:dyDescent="0.25">
      <c r="A23" s="4">
        <v>19</v>
      </c>
      <c r="B23" s="14" t="s">
        <v>41</v>
      </c>
      <c r="C23" s="6" t="s">
        <v>92</v>
      </c>
      <c r="D23" s="22" t="s">
        <v>93</v>
      </c>
      <c r="E23" s="8">
        <v>10000</v>
      </c>
      <c r="F23" s="4">
        <v>4</v>
      </c>
      <c r="G23" s="8">
        <v>40000</v>
      </c>
      <c r="H23" s="4"/>
    </row>
    <row r="24" spans="1:8" ht="33" x14ac:dyDescent="0.25">
      <c r="A24" s="4">
        <v>20</v>
      </c>
      <c r="B24" s="14" t="s">
        <v>94</v>
      </c>
      <c r="C24" s="6" t="s">
        <v>95</v>
      </c>
      <c r="D24" s="22" t="s">
        <v>96</v>
      </c>
      <c r="E24" s="8">
        <v>10000</v>
      </c>
      <c r="F24" s="4">
        <v>15</v>
      </c>
      <c r="G24" s="8">
        <v>150000</v>
      </c>
      <c r="H24" s="4"/>
    </row>
    <row r="25" spans="1:8" ht="33" x14ac:dyDescent="0.25">
      <c r="A25" s="4">
        <v>21</v>
      </c>
      <c r="B25" s="14" t="s">
        <v>97</v>
      </c>
      <c r="C25" s="6" t="s">
        <v>98</v>
      </c>
      <c r="D25" s="22" t="s">
        <v>99</v>
      </c>
      <c r="E25" s="8">
        <v>10000</v>
      </c>
      <c r="F25" s="4">
        <v>6</v>
      </c>
      <c r="G25" s="8">
        <v>60000</v>
      </c>
      <c r="H25" s="4"/>
    </row>
    <row r="26" spans="1:8" ht="33" x14ac:dyDescent="0.25">
      <c r="A26" s="4">
        <v>22</v>
      </c>
      <c r="B26" s="14" t="s">
        <v>100</v>
      </c>
      <c r="C26" s="6" t="s">
        <v>101</v>
      </c>
      <c r="D26" s="22" t="s">
        <v>102</v>
      </c>
      <c r="E26" s="8">
        <v>10000</v>
      </c>
      <c r="F26" s="4">
        <v>8</v>
      </c>
      <c r="G26" s="8">
        <v>80000</v>
      </c>
      <c r="H26" s="4"/>
    </row>
    <row r="27" spans="1:8" ht="49.5" x14ac:dyDescent="0.25">
      <c r="A27" s="4">
        <v>23</v>
      </c>
      <c r="B27" s="14" t="s">
        <v>100</v>
      </c>
      <c r="C27" s="6" t="s">
        <v>101</v>
      </c>
      <c r="D27" s="22" t="s">
        <v>103</v>
      </c>
      <c r="E27" s="8">
        <v>10000</v>
      </c>
      <c r="F27" s="4">
        <v>6</v>
      </c>
      <c r="G27" s="8">
        <v>60000</v>
      </c>
      <c r="H27" s="4"/>
    </row>
    <row r="28" spans="1:8" ht="66" x14ac:dyDescent="0.25">
      <c r="A28" s="4">
        <v>24</v>
      </c>
      <c r="B28" s="14" t="s">
        <v>104</v>
      </c>
      <c r="C28" s="6" t="s">
        <v>105</v>
      </c>
      <c r="D28" s="22" t="s">
        <v>106</v>
      </c>
      <c r="E28" s="8">
        <v>10000</v>
      </c>
      <c r="F28" s="4">
        <v>6</v>
      </c>
      <c r="G28" s="8">
        <v>60000</v>
      </c>
      <c r="H28" s="4"/>
    </row>
    <row r="29" spans="1:8" ht="66" x14ac:dyDescent="0.25">
      <c r="A29" s="4">
        <v>25</v>
      </c>
      <c r="B29" s="14" t="s">
        <v>107</v>
      </c>
      <c r="C29" s="6" t="s">
        <v>108</v>
      </c>
      <c r="D29" s="22" t="s">
        <v>109</v>
      </c>
      <c r="E29" s="8">
        <v>10000</v>
      </c>
      <c r="F29" s="4">
        <v>14</v>
      </c>
      <c r="G29" s="8">
        <v>140000</v>
      </c>
      <c r="H29" s="4"/>
    </row>
    <row r="30" spans="1:8" ht="49.5" x14ac:dyDescent="0.25">
      <c r="A30" s="4">
        <v>26</v>
      </c>
      <c r="B30" s="14" t="s">
        <v>107</v>
      </c>
      <c r="C30" s="6" t="s">
        <v>108</v>
      </c>
      <c r="D30" s="22" t="s">
        <v>110</v>
      </c>
      <c r="E30" s="8">
        <v>10000</v>
      </c>
      <c r="F30" s="4">
        <v>10</v>
      </c>
      <c r="G30" s="8">
        <v>100000</v>
      </c>
      <c r="H30" s="4"/>
    </row>
    <row r="31" spans="1:8" ht="49.5" x14ac:dyDescent="0.25">
      <c r="A31" s="4">
        <v>27</v>
      </c>
      <c r="B31" s="14" t="s">
        <v>111</v>
      </c>
      <c r="C31" s="6" t="s">
        <v>112</v>
      </c>
      <c r="D31" s="22" t="s">
        <v>113</v>
      </c>
      <c r="E31" s="8">
        <v>10000</v>
      </c>
      <c r="F31" s="4">
        <v>11</v>
      </c>
      <c r="G31" s="8">
        <v>110000</v>
      </c>
      <c r="H31" s="4"/>
    </row>
    <row r="32" spans="1:8" ht="49.5" x14ac:dyDescent="0.25">
      <c r="A32" s="4">
        <v>28</v>
      </c>
      <c r="B32" s="14" t="s">
        <v>111</v>
      </c>
      <c r="C32" s="6" t="s">
        <v>112</v>
      </c>
      <c r="D32" s="22" t="s">
        <v>114</v>
      </c>
      <c r="E32" s="8">
        <v>10000</v>
      </c>
      <c r="F32" s="4">
        <v>6</v>
      </c>
      <c r="G32" s="8">
        <v>60000</v>
      </c>
      <c r="H32" s="4"/>
    </row>
    <row r="33" spans="1:8" ht="33" x14ac:dyDescent="0.25">
      <c r="A33" s="4">
        <v>29</v>
      </c>
      <c r="B33" s="14" t="s">
        <v>111</v>
      </c>
      <c r="C33" s="6" t="s">
        <v>112</v>
      </c>
      <c r="D33" s="22" t="s">
        <v>115</v>
      </c>
      <c r="E33" s="8">
        <v>10000</v>
      </c>
      <c r="F33" s="4">
        <v>13</v>
      </c>
      <c r="G33" s="8">
        <v>130000</v>
      </c>
      <c r="H33" s="4"/>
    </row>
    <row r="34" spans="1:8" ht="49.5" x14ac:dyDescent="0.25">
      <c r="A34" s="4">
        <v>30</v>
      </c>
      <c r="B34" s="14" t="s">
        <v>111</v>
      </c>
      <c r="C34" s="6" t="s">
        <v>112</v>
      </c>
      <c r="D34" s="22" t="s">
        <v>116</v>
      </c>
      <c r="E34" s="8">
        <v>10000</v>
      </c>
      <c r="F34" s="4">
        <v>14</v>
      </c>
      <c r="G34" s="8">
        <v>140000</v>
      </c>
      <c r="H34" s="4"/>
    </row>
    <row r="35" spans="1:8" ht="49.5" x14ac:dyDescent="0.25">
      <c r="A35" s="4">
        <v>31</v>
      </c>
      <c r="B35" s="14" t="s">
        <v>111</v>
      </c>
      <c r="C35" s="6" t="s">
        <v>112</v>
      </c>
      <c r="D35" s="22" t="s">
        <v>117</v>
      </c>
      <c r="E35" s="8">
        <v>10000</v>
      </c>
      <c r="F35" s="4">
        <v>7</v>
      </c>
      <c r="G35" s="8">
        <v>70000</v>
      </c>
      <c r="H35" s="4"/>
    </row>
    <row r="36" spans="1:8" ht="49.5" x14ac:dyDescent="0.25">
      <c r="A36" s="4">
        <v>32</v>
      </c>
      <c r="B36" s="14" t="s">
        <v>111</v>
      </c>
      <c r="C36" s="6" t="s">
        <v>112</v>
      </c>
      <c r="D36" s="22" t="s">
        <v>118</v>
      </c>
      <c r="E36" s="8">
        <v>10000</v>
      </c>
      <c r="F36" s="4">
        <v>7</v>
      </c>
      <c r="G36" s="8">
        <v>70000</v>
      </c>
      <c r="H36" s="4"/>
    </row>
    <row r="37" spans="1:8" s="18" customFormat="1" ht="27.75" customHeight="1" x14ac:dyDescent="0.3">
      <c r="A37" s="23"/>
      <c r="B37" s="24"/>
      <c r="C37" s="24"/>
      <c r="D37" s="25" t="s">
        <v>25</v>
      </c>
      <c r="E37" s="24"/>
      <c r="F37" s="45">
        <f>SUM(F5:F36)</f>
        <v>296</v>
      </c>
      <c r="G37" s="17">
        <f>SUM(G5:G36)</f>
        <v>2960000</v>
      </c>
      <c r="H37" s="24"/>
    </row>
    <row r="38" spans="1:8" s="13" customFormat="1" ht="21" customHeight="1" x14ac:dyDescent="0.25">
      <c r="D38" s="26" t="s">
        <v>201</v>
      </c>
      <c r="E38" s="27"/>
    </row>
    <row r="40" spans="1:8" ht="16.5" customHeight="1" x14ac:dyDescent="0.25">
      <c r="A40" s="35" t="s">
        <v>119</v>
      </c>
      <c r="B40" s="35"/>
      <c r="C40" s="35"/>
      <c r="D40" s="35"/>
      <c r="E40" s="35"/>
      <c r="F40" s="35"/>
      <c r="G40" s="35"/>
      <c r="H40" s="35"/>
    </row>
    <row r="45" spans="1:8" x14ac:dyDescent="0.25">
      <c r="A45" s="32" t="s">
        <v>189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2:H2"/>
    <mergeCell ref="A1:H1"/>
    <mergeCell ref="A40:H40"/>
  </mergeCells>
  <printOptions horizontalCentered="1"/>
  <pageMargins left="0.7" right="0.7" top="0.75" bottom="0.75" header="0.3" footer="0.3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"/>
  <sheetViews>
    <sheetView workbookViewId="0">
      <selection activeCell="F7" sqref="F7"/>
    </sheetView>
  </sheetViews>
  <sheetFormatPr defaultRowHeight="15.75" x14ac:dyDescent="0.25"/>
  <cols>
    <col min="1" max="1" width="5.75" customWidth="1"/>
    <col min="2" max="2" width="17.75" bestFit="1" customWidth="1"/>
    <col min="3" max="3" width="10.25" bestFit="1" customWidth="1"/>
    <col min="4" max="4" width="30.625" customWidth="1"/>
    <col min="5" max="5" width="12.625" customWidth="1"/>
    <col min="6" max="6" width="10.625" customWidth="1"/>
    <col min="7" max="7" width="12.125" bestFit="1" customWidth="1"/>
    <col min="8" max="8" width="12.625" customWidth="1"/>
  </cols>
  <sheetData>
    <row r="1" spans="1:8" ht="32.1" customHeight="1" x14ac:dyDescent="0.3">
      <c r="A1" s="34" t="s">
        <v>46</v>
      </c>
      <c r="B1" s="34"/>
      <c r="C1" s="34"/>
      <c r="D1" s="34"/>
      <c r="E1" s="34"/>
      <c r="F1" s="34"/>
      <c r="G1" s="34"/>
      <c r="H1" s="34"/>
    </row>
    <row r="2" spans="1:8" ht="18.75" customHeight="1" x14ac:dyDescent="0.3">
      <c r="A2" s="34" t="s">
        <v>183</v>
      </c>
      <c r="B2" s="34"/>
      <c r="C2" s="34"/>
      <c r="D2" s="34"/>
      <c r="E2" s="34"/>
      <c r="F2" s="34"/>
      <c r="G2" s="34"/>
      <c r="H2" s="34"/>
    </row>
    <row r="4" spans="1:8" s="21" customFormat="1" ht="27.75" customHeight="1" x14ac:dyDescent="0.25">
      <c r="A4" s="15" t="s">
        <v>11</v>
      </c>
      <c r="B4" s="25" t="s">
        <v>47</v>
      </c>
      <c r="C4" s="25" t="s">
        <v>48</v>
      </c>
      <c r="D4" s="25" t="s">
        <v>49</v>
      </c>
      <c r="E4" s="17" t="s">
        <v>50</v>
      </c>
      <c r="F4" s="15" t="s">
        <v>51</v>
      </c>
      <c r="G4" s="17" t="s">
        <v>31</v>
      </c>
      <c r="H4" s="15" t="s">
        <v>32</v>
      </c>
    </row>
    <row r="5" spans="1:8" ht="33" x14ac:dyDescent="0.25">
      <c r="A5" s="4">
        <v>1</v>
      </c>
      <c r="B5" s="14" t="s">
        <v>84</v>
      </c>
      <c r="C5" s="6" t="s">
        <v>85</v>
      </c>
      <c r="D5" s="14" t="s">
        <v>120</v>
      </c>
      <c r="E5" s="8">
        <v>120000</v>
      </c>
      <c r="F5" s="4">
        <v>1</v>
      </c>
      <c r="G5" s="8">
        <v>120000</v>
      </c>
      <c r="H5" s="4"/>
    </row>
    <row r="6" spans="1:8" s="18" customFormat="1" ht="27.75" customHeight="1" x14ac:dyDescent="0.3">
      <c r="A6" s="23"/>
      <c r="B6" s="24"/>
      <c r="C6" s="24"/>
      <c r="D6" s="25" t="s">
        <v>25</v>
      </c>
      <c r="E6" s="24"/>
      <c r="F6" s="45">
        <f>SUM(F5)</f>
        <v>1</v>
      </c>
      <c r="G6" s="17">
        <f>SUM(G5:G5)</f>
        <v>120000</v>
      </c>
      <c r="H6" s="24"/>
    </row>
    <row r="7" spans="1:8" s="13" customFormat="1" ht="21" customHeight="1" x14ac:dyDescent="0.25">
      <c r="D7" s="26" t="s">
        <v>202</v>
      </c>
      <c r="E7" s="27"/>
    </row>
    <row r="9" spans="1:8" ht="16.5" customHeight="1" x14ac:dyDescent="0.25">
      <c r="A9" s="35" t="s">
        <v>119</v>
      </c>
      <c r="B9" s="35"/>
      <c r="C9" s="35"/>
      <c r="D9" s="35"/>
      <c r="E9" s="35"/>
      <c r="F9" s="35"/>
      <c r="G9" s="35"/>
      <c r="H9" s="35"/>
    </row>
    <row r="14" spans="1:8" x14ac:dyDescent="0.25">
      <c r="A14" s="32" t="s">
        <v>189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2:H2"/>
    <mergeCell ref="A1:H1"/>
    <mergeCell ref="A9:H9"/>
  </mergeCells>
  <printOptions horizontalCentered="1"/>
  <pageMargins left="0.7" right="0.7" top="0.75" bottom="0.75" header="0.3" footer="0.3"/>
  <pageSetup paperSize="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4"/>
  <sheetViews>
    <sheetView workbookViewId="0">
      <selection activeCell="F7" sqref="F7"/>
    </sheetView>
  </sheetViews>
  <sheetFormatPr defaultRowHeight="15.75" x14ac:dyDescent="0.25"/>
  <cols>
    <col min="1" max="1" width="5.75" customWidth="1"/>
    <col min="2" max="2" width="17.75" bestFit="1" customWidth="1"/>
    <col min="3" max="3" width="10.25" bestFit="1" customWidth="1"/>
    <col min="4" max="4" width="30.625" customWidth="1"/>
    <col min="5" max="5" width="12.625" customWidth="1"/>
    <col min="6" max="6" width="10.625" customWidth="1"/>
    <col min="7" max="7" width="14.625" customWidth="1"/>
    <col min="8" max="8" width="12.625" customWidth="1"/>
  </cols>
  <sheetData>
    <row r="1" spans="1:8" ht="32.1" customHeight="1" x14ac:dyDescent="0.3">
      <c r="A1" s="34" t="s">
        <v>46</v>
      </c>
      <c r="B1" s="34"/>
      <c r="C1" s="34"/>
      <c r="D1" s="34"/>
      <c r="E1" s="34"/>
      <c r="F1" s="34"/>
      <c r="G1" s="34"/>
      <c r="H1" s="34"/>
    </row>
    <row r="2" spans="1:8" ht="18.75" customHeight="1" x14ac:dyDescent="0.3">
      <c r="A2" s="34" t="s">
        <v>184</v>
      </c>
      <c r="B2" s="34"/>
      <c r="C2" s="34"/>
      <c r="D2" s="34"/>
      <c r="E2" s="34"/>
      <c r="F2" s="34"/>
      <c r="G2" s="34"/>
      <c r="H2" s="34"/>
    </row>
    <row r="4" spans="1:8" s="21" customFormat="1" ht="27.75" customHeight="1" x14ac:dyDescent="0.25">
      <c r="A4" s="15" t="s">
        <v>11</v>
      </c>
      <c r="B4" s="25" t="s">
        <v>47</v>
      </c>
      <c r="C4" s="25" t="s">
        <v>48</v>
      </c>
      <c r="D4" s="25" t="s">
        <v>49</v>
      </c>
      <c r="E4" s="17" t="s">
        <v>50</v>
      </c>
      <c r="F4" s="15" t="s">
        <v>51</v>
      </c>
      <c r="G4" s="17" t="s">
        <v>31</v>
      </c>
      <c r="H4" s="15" t="s">
        <v>32</v>
      </c>
    </row>
    <row r="5" spans="1:8" ht="33" x14ac:dyDescent="0.25">
      <c r="A5" s="4">
        <v>1</v>
      </c>
      <c r="B5" s="14" t="s">
        <v>84</v>
      </c>
      <c r="C5" s="6" t="s">
        <v>85</v>
      </c>
      <c r="D5" s="22" t="s">
        <v>120</v>
      </c>
      <c r="E5" s="8">
        <v>10000</v>
      </c>
      <c r="F5" s="4">
        <v>7</v>
      </c>
      <c r="G5" s="8">
        <v>70000</v>
      </c>
      <c r="H5" s="4"/>
    </row>
    <row r="6" spans="1:8" s="18" customFormat="1" ht="27.75" customHeight="1" x14ac:dyDescent="0.3">
      <c r="A6" s="23"/>
      <c r="B6" s="24"/>
      <c r="C6" s="24"/>
      <c r="D6" s="25" t="s">
        <v>25</v>
      </c>
      <c r="E6" s="24"/>
      <c r="F6" s="45">
        <f>SUM(F5)</f>
        <v>7</v>
      </c>
      <c r="G6" s="17">
        <f>SUM(G5:G5)</f>
        <v>70000</v>
      </c>
      <c r="H6" s="24"/>
    </row>
    <row r="7" spans="1:8" s="13" customFormat="1" ht="21" customHeight="1" x14ac:dyDescent="0.25">
      <c r="D7" s="26" t="s">
        <v>203</v>
      </c>
      <c r="E7" s="27"/>
    </row>
    <row r="9" spans="1:8" ht="16.5" customHeight="1" x14ac:dyDescent="0.25">
      <c r="A9" s="35" t="s">
        <v>119</v>
      </c>
      <c r="B9" s="35"/>
      <c r="C9" s="35"/>
      <c r="D9" s="35"/>
      <c r="E9" s="35"/>
      <c r="F9" s="35"/>
      <c r="G9" s="35"/>
      <c r="H9" s="35"/>
    </row>
    <row r="14" spans="1:8" x14ac:dyDescent="0.25">
      <c r="A14" s="32" t="s">
        <v>189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2:H2"/>
    <mergeCell ref="A1:H1"/>
    <mergeCell ref="A9:H9"/>
  </mergeCells>
  <printOptions horizontalCentered="1"/>
  <pageMargins left="0.7" right="0.7" top="0.75" bottom="0.75" header="0.3" footer="0.3"/>
  <pageSetup paperSize="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5"/>
  <sheetViews>
    <sheetView workbookViewId="0">
      <selection activeCell="F18" sqref="F18"/>
    </sheetView>
  </sheetViews>
  <sheetFormatPr defaultRowHeight="15.75" x14ac:dyDescent="0.25"/>
  <cols>
    <col min="1" max="1" width="5.75" customWidth="1"/>
    <col min="2" max="2" width="22.625" customWidth="1"/>
    <col min="3" max="3" width="10.5" bestFit="1" customWidth="1"/>
    <col min="4" max="4" width="30.625" customWidth="1"/>
    <col min="5" max="5" width="10" bestFit="1" customWidth="1"/>
    <col min="6" max="6" width="10.625" customWidth="1"/>
    <col min="7" max="7" width="13" bestFit="1" customWidth="1"/>
    <col min="8" max="8" width="12.625" customWidth="1"/>
  </cols>
  <sheetData>
    <row r="1" spans="1:8" ht="32.1" customHeight="1" x14ac:dyDescent="0.3">
      <c r="A1" s="34" t="s">
        <v>46</v>
      </c>
      <c r="B1" s="34"/>
      <c r="C1" s="34"/>
      <c r="D1" s="34"/>
      <c r="E1" s="34"/>
      <c r="F1" s="34"/>
      <c r="G1" s="34"/>
      <c r="H1" s="34"/>
    </row>
    <row r="2" spans="1:8" ht="18.75" customHeight="1" x14ac:dyDescent="0.3">
      <c r="A2" s="33" t="s">
        <v>185</v>
      </c>
      <c r="B2" s="33"/>
      <c r="C2" s="33"/>
      <c r="D2" s="33"/>
      <c r="E2" s="33"/>
      <c r="F2" s="33"/>
      <c r="G2" s="33"/>
      <c r="H2" s="33"/>
    </row>
    <row r="4" spans="1:8" s="21" customFormat="1" ht="27.75" customHeight="1" x14ac:dyDescent="0.25">
      <c r="A4" s="15" t="s">
        <v>11</v>
      </c>
      <c r="B4" s="25" t="s">
        <v>47</v>
      </c>
      <c r="C4" s="25" t="s">
        <v>48</v>
      </c>
      <c r="D4" s="25" t="s">
        <v>49</v>
      </c>
      <c r="E4" s="17" t="s">
        <v>50</v>
      </c>
      <c r="F4" s="15" t="s">
        <v>51</v>
      </c>
      <c r="G4" s="17" t="s">
        <v>31</v>
      </c>
      <c r="H4" s="15" t="s">
        <v>32</v>
      </c>
    </row>
    <row r="5" spans="1:8" ht="27.75" customHeight="1" x14ac:dyDescent="0.25">
      <c r="A5" s="4">
        <v>1</v>
      </c>
      <c r="B5" s="14" t="s">
        <v>121</v>
      </c>
      <c r="C5" s="6" t="s">
        <v>122</v>
      </c>
      <c r="D5" s="14" t="s">
        <v>123</v>
      </c>
      <c r="E5" s="8">
        <v>100000</v>
      </c>
      <c r="F5" s="4">
        <v>1</v>
      </c>
      <c r="G5" s="8">
        <v>100000</v>
      </c>
      <c r="H5" s="4"/>
    </row>
    <row r="6" spans="1:8" ht="27.75" customHeight="1" x14ac:dyDescent="0.25">
      <c r="A6" s="4">
        <v>2</v>
      </c>
      <c r="B6" s="14" t="s">
        <v>124</v>
      </c>
      <c r="C6" s="6" t="s">
        <v>125</v>
      </c>
      <c r="D6" s="14" t="s">
        <v>126</v>
      </c>
      <c r="E6" s="8">
        <v>100000</v>
      </c>
      <c r="F6" s="4">
        <v>1</v>
      </c>
      <c r="G6" s="8">
        <v>100000</v>
      </c>
      <c r="H6" s="4"/>
    </row>
    <row r="7" spans="1:8" ht="27.75" customHeight="1" x14ac:dyDescent="0.25">
      <c r="A7" s="4">
        <v>3</v>
      </c>
      <c r="B7" s="14" t="s">
        <v>127</v>
      </c>
      <c r="C7" s="6" t="s">
        <v>128</v>
      </c>
      <c r="D7" s="14" t="s">
        <v>129</v>
      </c>
      <c r="E7" s="8">
        <v>100000</v>
      </c>
      <c r="F7" s="4">
        <v>1</v>
      </c>
      <c r="G7" s="8">
        <v>100000</v>
      </c>
      <c r="H7" s="4"/>
    </row>
    <row r="8" spans="1:8" ht="27.75" customHeight="1" x14ac:dyDescent="0.25">
      <c r="A8" s="4">
        <v>4</v>
      </c>
      <c r="B8" s="14" t="s">
        <v>130</v>
      </c>
      <c r="C8" s="6" t="s">
        <v>131</v>
      </c>
      <c r="D8" s="14" t="s">
        <v>132</v>
      </c>
      <c r="E8" s="8">
        <v>100000</v>
      </c>
      <c r="F8" s="4">
        <v>1</v>
      </c>
      <c r="G8" s="8">
        <v>100000</v>
      </c>
      <c r="H8" s="4"/>
    </row>
    <row r="9" spans="1:8" ht="27.75" customHeight="1" x14ac:dyDescent="0.25">
      <c r="A9" s="4">
        <v>5</v>
      </c>
      <c r="B9" s="14" t="s">
        <v>133</v>
      </c>
      <c r="C9" s="6" t="s">
        <v>134</v>
      </c>
      <c r="D9" s="14" t="s">
        <v>135</v>
      </c>
      <c r="E9" s="8">
        <v>100000</v>
      </c>
      <c r="F9" s="4">
        <v>1</v>
      </c>
      <c r="G9" s="8">
        <v>100000</v>
      </c>
      <c r="H9" s="4"/>
    </row>
    <row r="10" spans="1:8" ht="27.75" customHeight="1" x14ac:dyDescent="0.25">
      <c r="A10" s="4">
        <v>6</v>
      </c>
      <c r="B10" s="14" t="s">
        <v>136</v>
      </c>
      <c r="C10" s="6" t="s">
        <v>137</v>
      </c>
      <c r="D10" s="14" t="s">
        <v>138</v>
      </c>
      <c r="E10" s="8">
        <v>100000</v>
      </c>
      <c r="F10" s="4">
        <v>1</v>
      </c>
      <c r="G10" s="8">
        <v>100000</v>
      </c>
      <c r="H10" s="4"/>
    </row>
    <row r="11" spans="1:8" ht="27.75" customHeight="1" x14ac:dyDescent="0.25">
      <c r="A11" s="4">
        <v>7</v>
      </c>
      <c r="B11" s="14" t="s">
        <v>136</v>
      </c>
      <c r="C11" s="6" t="s">
        <v>139</v>
      </c>
      <c r="D11" s="14" t="s">
        <v>140</v>
      </c>
      <c r="E11" s="8">
        <v>100000</v>
      </c>
      <c r="F11" s="4">
        <v>1</v>
      </c>
      <c r="G11" s="8">
        <v>100000</v>
      </c>
      <c r="H11" s="4"/>
    </row>
    <row r="12" spans="1:8" ht="27.75" customHeight="1" x14ac:dyDescent="0.25">
      <c r="A12" s="4">
        <v>8</v>
      </c>
      <c r="B12" s="14" t="s">
        <v>141</v>
      </c>
      <c r="C12" s="6" t="s">
        <v>142</v>
      </c>
      <c r="D12" s="14" t="s">
        <v>143</v>
      </c>
      <c r="E12" s="8">
        <v>100000</v>
      </c>
      <c r="F12" s="4">
        <v>1</v>
      </c>
      <c r="G12" s="8">
        <v>100000</v>
      </c>
      <c r="H12" s="4"/>
    </row>
    <row r="13" spans="1:8" ht="27.75" customHeight="1" x14ac:dyDescent="0.25">
      <c r="A13" s="4">
        <v>9</v>
      </c>
      <c r="B13" s="14" t="s">
        <v>144</v>
      </c>
      <c r="C13" s="6" t="s">
        <v>145</v>
      </c>
      <c r="D13" s="14" t="s">
        <v>146</v>
      </c>
      <c r="E13" s="8">
        <v>100000</v>
      </c>
      <c r="F13" s="4">
        <v>1</v>
      </c>
      <c r="G13" s="8">
        <v>100000</v>
      </c>
      <c r="H13" s="4"/>
    </row>
    <row r="14" spans="1:8" ht="27.75" customHeight="1" x14ac:dyDescent="0.25">
      <c r="A14" s="4">
        <v>10</v>
      </c>
      <c r="B14" s="14" t="s">
        <v>147</v>
      </c>
      <c r="C14" s="6" t="s">
        <v>131</v>
      </c>
      <c r="D14" s="14" t="s">
        <v>148</v>
      </c>
      <c r="E14" s="8">
        <v>100000</v>
      </c>
      <c r="F14" s="4">
        <v>1</v>
      </c>
      <c r="G14" s="8">
        <v>100000</v>
      </c>
      <c r="H14" s="4"/>
    </row>
    <row r="15" spans="1:8" ht="27.75" customHeight="1" x14ac:dyDescent="0.25">
      <c r="A15" s="4">
        <v>11</v>
      </c>
      <c r="B15" s="14" t="s">
        <v>149</v>
      </c>
      <c r="C15" s="6" t="s">
        <v>150</v>
      </c>
      <c r="D15" s="14" t="s">
        <v>151</v>
      </c>
      <c r="E15" s="8">
        <v>100000</v>
      </c>
      <c r="F15" s="4">
        <v>1</v>
      </c>
      <c r="G15" s="8">
        <v>100000</v>
      </c>
      <c r="H15" s="4"/>
    </row>
    <row r="16" spans="1:8" ht="27.75" customHeight="1" x14ac:dyDescent="0.25">
      <c r="A16" s="4">
        <v>12</v>
      </c>
      <c r="B16" s="14" t="s">
        <v>152</v>
      </c>
      <c r="C16" s="6" t="s">
        <v>153</v>
      </c>
      <c r="D16" s="14" t="s">
        <v>154</v>
      </c>
      <c r="E16" s="8">
        <v>100000</v>
      </c>
      <c r="F16" s="4">
        <v>1</v>
      </c>
      <c r="G16" s="8">
        <v>100000</v>
      </c>
      <c r="H16" s="4"/>
    </row>
    <row r="17" spans="1:8" s="18" customFormat="1" ht="27.75" customHeight="1" x14ac:dyDescent="0.3">
      <c r="A17" s="23"/>
      <c r="B17" s="24"/>
      <c r="C17" s="24"/>
      <c r="D17" s="25" t="s">
        <v>25</v>
      </c>
      <c r="E17" s="24"/>
      <c r="F17" s="45">
        <f>SUM(F5:F16)</f>
        <v>12</v>
      </c>
      <c r="G17" s="17">
        <f>SUM(G5:G16)</f>
        <v>1200000</v>
      </c>
      <c r="H17" s="24"/>
    </row>
    <row r="18" spans="1:8" s="13" customFormat="1" ht="21" customHeight="1" x14ac:dyDescent="0.25">
      <c r="D18" s="26" t="s">
        <v>204</v>
      </c>
      <c r="E18" s="27"/>
    </row>
    <row r="20" spans="1:8" ht="16.5" customHeight="1" x14ac:dyDescent="0.25">
      <c r="A20" s="35" t="s">
        <v>119</v>
      </c>
      <c r="B20" s="35"/>
      <c r="C20" s="35"/>
      <c r="D20" s="35"/>
      <c r="E20" s="35"/>
      <c r="F20" s="35"/>
      <c r="G20" s="35"/>
      <c r="H20" s="35"/>
    </row>
    <row r="25" spans="1:8" x14ac:dyDescent="0.25">
      <c r="A25" s="32" t="s">
        <v>189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2:H2"/>
    <mergeCell ref="A1:H1"/>
    <mergeCell ref="A20:H20"/>
  </mergeCells>
  <printOptions horizontalCentered="1"/>
  <pageMargins left="0.7" right="0.7" top="0.75" bottom="0.75" header="0.3" footer="0.3"/>
  <pageSetup paperSize="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F18" sqref="F18"/>
    </sheetView>
  </sheetViews>
  <sheetFormatPr defaultRowHeight="15.75" x14ac:dyDescent="0.25"/>
  <cols>
    <col min="1" max="1" width="5.75" customWidth="1"/>
    <col min="2" max="2" width="22.625" customWidth="1"/>
    <col min="3" max="3" width="10.5" bestFit="1" customWidth="1"/>
    <col min="4" max="4" width="30.625" customWidth="1"/>
    <col min="5" max="5" width="12.625" customWidth="1"/>
    <col min="6" max="6" width="10.625" customWidth="1"/>
    <col min="7" max="7" width="14.625" customWidth="1"/>
    <col min="8" max="8" width="12.625" customWidth="1"/>
  </cols>
  <sheetData>
    <row r="1" spans="1:8" ht="32.1" customHeight="1" x14ac:dyDescent="0.3">
      <c r="A1" s="34" t="s">
        <v>46</v>
      </c>
      <c r="B1" s="34"/>
      <c r="C1" s="34"/>
      <c r="D1" s="34"/>
      <c r="E1" s="34"/>
      <c r="F1" s="34"/>
      <c r="G1" s="34"/>
      <c r="H1" s="34"/>
    </row>
    <row r="2" spans="1:8" ht="18.75" customHeight="1" x14ac:dyDescent="0.3">
      <c r="A2" s="33" t="s">
        <v>186</v>
      </c>
      <c r="B2" s="33"/>
      <c r="C2" s="33"/>
      <c r="D2" s="33"/>
      <c r="E2" s="33"/>
      <c r="F2" s="33"/>
      <c r="G2" s="33"/>
      <c r="H2" s="33"/>
    </row>
    <row r="4" spans="1:8" s="21" customFormat="1" ht="27.75" customHeight="1" x14ac:dyDescent="0.25">
      <c r="A4" s="15" t="s">
        <v>11</v>
      </c>
      <c r="B4" s="25" t="s">
        <v>47</v>
      </c>
      <c r="C4" s="25" t="s">
        <v>48</v>
      </c>
      <c r="D4" s="25" t="s">
        <v>49</v>
      </c>
      <c r="E4" s="17" t="s">
        <v>50</v>
      </c>
      <c r="F4" s="15" t="s">
        <v>51</v>
      </c>
      <c r="G4" s="17" t="s">
        <v>31</v>
      </c>
      <c r="H4" s="15" t="s">
        <v>32</v>
      </c>
    </row>
    <row r="5" spans="1:8" ht="27.75" customHeight="1" x14ac:dyDescent="0.25">
      <c r="A5" s="4">
        <v>1</v>
      </c>
      <c r="B5" s="14" t="s">
        <v>121</v>
      </c>
      <c r="C5" s="6" t="s">
        <v>122</v>
      </c>
      <c r="D5" s="14" t="s">
        <v>123</v>
      </c>
      <c r="E5" s="8">
        <v>10000</v>
      </c>
      <c r="F5" s="4">
        <v>1</v>
      </c>
      <c r="G5" s="8">
        <v>10000</v>
      </c>
      <c r="H5" s="4"/>
    </row>
    <row r="6" spans="1:8" ht="27.75" customHeight="1" x14ac:dyDescent="0.25">
      <c r="A6" s="4">
        <v>2</v>
      </c>
      <c r="B6" s="14" t="s">
        <v>124</v>
      </c>
      <c r="C6" s="6" t="s">
        <v>125</v>
      </c>
      <c r="D6" s="14" t="s">
        <v>126</v>
      </c>
      <c r="E6" s="8">
        <v>10000</v>
      </c>
      <c r="F6" s="4">
        <v>1</v>
      </c>
      <c r="G6" s="8">
        <v>10000</v>
      </c>
      <c r="H6" s="4"/>
    </row>
    <row r="7" spans="1:8" ht="27.75" customHeight="1" x14ac:dyDescent="0.25">
      <c r="A7" s="4">
        <v>3</v>
      </c>
      <c r="B7" s="14" t="s">
        <v>127</v>
      </c>
      <c r="C7" s="6" t="s">
        <v>128</v>
      </c>
      <c r="D7" s="14" t="s">
        <v>129</v>
      </c>
      <c r="E7" s="8">
        <v>10000</v>
      </c>
      <c r="F7" s="4">
        <v>1</v>
      </c>
      <c r="G7" s="8">
        <v>10000</v>
      </c>
      <c r="H7" s="4"/>
    </row>
    <row r="8" spans="1:8" ht="27.75" customHeight="1" x14ac:dyDescent="0.25">
      <c r="A8" s="4">
        <v>4</v>
      </c>
      <c r="B8" s="14" t="s">
        <v>130</v>
      </c>
      <c r="C8" s="6" t="s">
        <v>131</v>
      </c>
      <c r="D8" s="14" t="s">
        <v>132</v>
      </c>
      <c r="E8" s="8">
        <v>10000</v>
      </c>
      <c r="F8" s="4">
        <v>1</v>
      </c>
      <c r="G8" s="8">
        <v>10000</v>
      </c>
      <c r="H8" s="4"/>
    </row>
    <row r="9" spans="1:8" ht="27.75" customHeight="1" x14ac:dyDescent="0.25">
      <c r="A9" s="4">
        <v>5</v>
      </c>
      <c r="B9" s="14" t="s">
        <v>133</v>
      </c>
      <c r="C9" s="6" t="s">
        <v>134</v>
      </c>
      <c r="D9" s="14" t="s">
        <v>135</v>
      </c>
      <c r="E9" s="8">
        <v>10000</v>
      </c>
      <c r="F9" s="4">
        <v>1</v>
      </c>
      <c r="G9" s="8">
        <v>10000</v>
      </c>
      <c r="H9" s="4"/>
    </row>
    <row r="10" spans="1:8" ht="27.75" customHeight="1" x14ac:dyDescent="0.25">
      <c r="A10" s="4">
        <v>6</v>
      </c>
      <c r="B10" s="14" t="s">
        <v>136</v>
      </c>
      <c r="C10" s="6" t="s">
        <v>137</v>
      </c>
      <c r="D10" s="14" t="s">
        <v>138</v>
      </c>
      <c r="E10" s="8">
        <v>10000</v>
      </c>
      <c r="F10" s="4">
        <v>1</v>
      </c>
      <c r="G10" s="8">
        <v>10000</v>
      </c>
      <c r="H10" s="4"/>
    </row>
    <row r="11" spans="1:8" ht="27.75" customHeight="1" x14ac:dyDescent="0.25">
      <c r="A11" s="4">
        <v>7</v>
      </c>
      <c r="B11" s="14" t="s">
        <v>136</v>
      </c>
      <c r="C11" s="6" t="s">
        <v>139</v>
      </c>
      <c r="D11" s="14" t="s">
        <v>140</v>
      </c>
      <c r="E11" s="8">
        <v>10000</v>
      </c>
      <c r="F11" s="4">
        <v>1</v>
      </c>
      <c r="G11" s="8">
        <v>10000</v>
      </c>
      <c r="H11" s="4"/>
    </row>
    <row r="12" spans="1:8" ht="27.75" customHeight="1" x14ac:dyDescent="0.25">
      <c r="A12" s="4">
        <v>8</v>
      </c>
      <c r="B12" s="14" t="s">
        <v>141</v>
      </c>
      <c r="C12" s="6" t="s">
        <v>142</v>
      </c>
      <c r="D12" s="14" t="s">
        <v>143</v>
      </c>
      <c r="E12" s="8">
        <v>10000</v>
      </c>
      <c r="F12" s="4">
        <v>2</v>
      </c>
      <c r="G12" s="8">
        <v>20000</v>
      </c>
      <c r="H12" s="4"/>
    </row>
    <row r="13" spans="1:8" ht="27.75" customHeight="1" x14ac:dyDescent="0.25">
      <c r="A13" s="4">
        <v>9</v>
      </c>
      <c r="B13" s="14" t="s">
        <v>144</v>
      </c>
      <c r="C13" s="6" t="s">
        <v>145</v>
      </c>
      <c r="D13" s="14" t="s">
        <v>146</v>
      </c>
      <c r="E13" s="8">
        <v>10000</v>
      </c>
      <c r="F13" s="4">
        <v>1</v>
      </c>
      <c r="G13" s="8">
        <v>10000</v>
      </c>
      <c r="H13" s="4"/>
    </row>
    <row r="14" spans="1:8" ht="27.75" customHeight="1" x14ac:dyDescent="0.25">
      <c r="A14" s="4">
        <v>10</v>
      </c>
      <c r="B14" s="14" t="s">
        <v>147</v>
      </c>
      <c r="C14" s="6" t="s">
        <v>131</v>
      </c>
      <c r="D14" s="14" t="s">
        <v>148</v>
      </c>
      <c r="E14" s="8">
        <v>10000</v>
      </c>
      <c r="F14" s="4">
        <v>1</v>
      </c>
      <c r="G14" s="8">
        <v>10000</v>
      </c>
      <c r="H14" s="4"/>
    </row>
    <row r="15" spans="1:8" ht="27.75" customHeight="1" x14ac:dyDescent="0.25">
      <c r="A15" s="4">
        <v>11</v>
      </c>
      <c r="B15" s="14" t="s">
        <v>149</v>
      </c>
      <c r="C15" s="6" t="s">
        <v>150</v>
      </c>
      <c r="D15" s="14" t="s">
        <v>151</v>
      </c>
      <c r="E15" s="8">
        <v>10000</v>
      </c>
      <c r="F15" s="4">
        <v>1</v>
      </c>
      <c r="G15" s="8">
        <v>10000</v>
      </c>
      <c r="H15" s="4"/>
    </row>
    <row r="16" spans="1:8" ht="27.75" customHeight="1" x14ac:dyDescent="0.25">
      <c r="A16" s="4">
        <v>12</v>
      </c>
      <c r="B16" s="14" t="s">
        <v>152</v>
      </c>
      <c r="C16" s="6" t="s">
        <v>153</v>
      </c>
      <c r="D16" s="14" t="s">
        <v>154</v>
      </c>
      <c r="E16" s="8">
        <v>10000</v>
      </c>
      <c r="F16" s="4">
        <v>1</v>
      </c>
      <c r="G16" s="8">
        <v>10000</v>
      </c>
      <c r="H16" s="4"/>
    </row>
    <row r="17" spans="1:8" s="18" customFormat="1" ht="27.75" customHeight="1" x14ac:dyDescent="0.3">
      <c r="A17" s="23"/>
      <c r="B17" s="24"/>
      <c r="C17" s="24"/>
      <c r="D17" s="25" t="s">
        <v>25</v>
      </c>
      <c r="E17" s="24"/>
      <c r="F17" s="45">
        <f>SUM(F5:F16)</f>
        <v>13</v>
      </c>
      <c r="G17" s="17">
        <f>SUM(G5:G16)</f>
        <v>130000</v>
      </c>
      <c r="H17" s="24"/>
    </row>
    <row r="18" spans="1:8" s="13" customFormat="1" ht="21" customHeight="1" x14ac:dyDescent="0.25">
      <c r="D18" s="26" t="s">
        <v>205</v>
      </c>
      <c r="E18" s="27"/>
    </row>
    <row r="20" spans="1:8" ht="16.5" customHeight="1" x14ac:dyDescent="0.25">
      <c r="A20" s="35" t="s">
        <v>119</v>
      </c>
      <c r="B20" s="35"/>
      <c r="C20" s="35"/>
      <c r="D20" s="35"/>
      <c r="E20" s="35"/>
      <c r="F20" s="35"/>
      <c r="G20" s="35"/>
      <c r="H20" s="35"/>
    </row>
    <row r="25" spans="1:8" x14ac:dyDescent="0.25">
      <c r="A25" s="32" t="s">
        <v>189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2:H2"/>
    <mergeCell ref="A1:H1"/>
    <mergeCell ref="A20:H20"/>
  </mergeCells>
  <printOptions horizontalCentered="1"/>
  <pageMargins left="0.7" right="0.7" top="0.75" bottom="0.75" header="0.3" footer="0.3"/>
  <pageSetup paperSize="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0"/>
  <sheetViews>
    <sheetView workbookViewId="0">
      <selection activeCell="F13" sqref="F13"/>
    </sheetView>
  </sheetViews>
  <sheetFormatPr defaultRowHeight="15.75" x14ac:dyDescent="0.25"/>
  <cols>
    <col min="1" max="1" width="5.75" customWidth="1"/>
    <col min="2" max="2" width="22.625" customWidth="1"/>
    <col min="3" max="3" width="12.625" customWidth="1"/>
    <col min="4" max="4" width="35" customWidth="1"/>
    <col min="5" max="5" width="12.625" customWidth="1"/>
    <col min="6" max="6" width="10.625" customWidth="1"/>
    <col min="7" max="7" width="14.625" customWidth="1"/>
    <col min="8" max="8" width="12.625" customWidth="1"/>
  </cols>
  <sheetData>
    <row r="1" spans="1:8" ht="32.1" customHeight="1" x14ac:dyDescent="0.3">
      <c r="A1" s="34" t="s">
        <v>46</v>
      </c>
      <c r="B1" s="34"/>
      <c r="C1" s="34"/>
      <c r="D1" s="34"/>
      <c r="E1" s="34"/>
      <c r="F1" s="34"/>
      <c r="G1" s="34"/>
      <c r="H1" s="34"/>
    </row>
    <row r="2" spans="1:8" ht="18.75" customHeight="1" x14ac:dyDescent="0.3">
      <c r="A2" s="33" t="s">
        <v>187</v>
      </c>
      <c r="B2" s="33"/>
      <c r="C2" s="33"/>
      <c r="D2" s="33"/>
      <c r="E2" s="33"/>
      <c r="F2" s="33"/>
      <c r="G2" s="33"/>
      <c r="H2" s="33"/>
    </row>
    <row r="4" spans="1:8" s="21" customFormat="1" ht="27.75" customHeight="1" x14ac:dyDescent="0.25">
      <c r="A4" s="15" t="s">
        <v>11</v>
      </c>
      <c r="B4" s="25" t="s">
        <v>47</v>
      </c>
      <c r="C4" s="25" t="s">
        <v>48</v>
      </c>
      <c r="D4" s="25" t="s">
        <v>49</v>
      </c>
      <c r="E4" s="17" t="s">
        <v>50</v>
      </c>
      <c r="F4" s="15" t="s">
        <v>51</v>
      </c>
      <c r="G4" s="17" t="s">
        <v>31</v>
      </c>
      <c r="H4" s="15" t="s">
        <v>32</v>
      </c>
    </row>
    <row r="5" spans="1:8" ht="25.5" customHeight="1" x14ac:dyDescent="0.25">
      <c r="A5" s="4">
        <v>1</v>
      </c>
      <c r="B5" s="14" t="s">
        <v>155</v>
      </c>
      <c r="C5" s="14" t="s">
        <v>134</v>
      </c>
      <c r="D5" s="14" t="s">
        <v>156</v>
      </c>
      <c r="E5" s="8">
        <v>100000</v>
      </c>
      <c r="F5" s="4">
        <v>1</v>
      </c>
      <c r="G5" s="8">
        <v>100000</v>
      </c>
      <c r="H5" s="4"/>
    </row>
    <row r="6" spans="1:8" ht="22.5" customHeight="1" x14ac:dyDescent="0.25">
      <c r="A6" s="4">
        <v>2</v>
      </c>
      <c r="B6" s="14" t="s">
        <v>157</v>
      </c>
      <c r="C6" s="14" t="s">
        <v>131</v>
      </c>
      <c r="D6" s="14" t="s">
        <v>158</v>
      </c>
      <c r="E6" s="8">
        <v>100000</v>
      </c>
      <c r="F6" s="4">
        <v>1</v>
      </c>
      <c r="G6" s="8">
        <v>100000</v>
      </c>
      <c r="H6" s="4"/>
    </row>
    <row r="7" spans="1:8" ht="22.5" customHeight="1" x14ac:dyDescent="0.25">
      <c r="A7" s="4">
        <v>3</v>
      </c>
      <c r="B7" s="14" t="s">
        <v>159</v>
      </c>
      <c r="C7" s="14" t="s">
        <v>160</v>
      </c>
      <c r="D7" s="14" t="s">
        <v>161</v>
      </c>
      <c r="E7" s="8">
        <v>100000</v>
      </c>
      <c r="F7" s="4">
        <v>1</v>
      </c>
      <c r="G7" s="8">
        <v>100000</v>
      </c>
      <c r="H7" s="4"/>
    </row>
    <row r="8" spans="1:8" ht="33" x14ac:dyDescent="0.25">
      <c r="A8" s="4">
        <v>4</v>
      </c>
      <c r="B8" s="14" t="s">
        <v>127</v>
      </c>
      <c r="C8" s="14" t="s">
        <v>128</v>
      </c>
      <c r="D8" s="14" t="s">
        <v>162</v>
      </c>
      <c r="E8" s="8">
        <v>100000</v>
      </c>
      <c r="F8" s="4">
        <v>1</v>
      </c>
      <c r="G8" s="8">
        <v>100000</v>
      </c>
      <c r="H8" s="4"/>
    </row>
    <row r="9" spans="1:8" ht="22.5" customHeight="1" x14ac:dyDescent="0.25">
      <c r="A9" s="4">
        <v>5</v>
      </c>
      <c r="B9" s="14" t="s">
        <v>163</v>
      </c>
      <c r="C9" s="14" t="s">
        <v>164</v>
      </c>
      <c r="D9" s="14" t="s">
        <v>165</v>
      </c>
      <c r="E9" s="8">
        <v>100000</v>
      </c>
      <c r="F9" s="4">
        <v>1</v>
      </c>
      <c r="G9" s="8">
        <v>100000</v>
      </c>
      <c r="H9" s="4"/>
    </row>
    <row r="10" spans="1:8" ht="22.5" customHeight="1" x14ac:dyDescent="0.25">
      <c r="A10" s="4">
        <v>6</v>
      </c>
      <c r="B10" s="14" t="s">
        <v>166</v>
      </c>
      <c r="C10" s="14" t="s">
        <v>139</v>
      </c>
      <c r="D10" s="14" t="s">
        <v>167</v>
      </c>
      <c r="E10" s="8">
        <v>100000</v>
      </c>
      <c r="F10" s="4">
        <v>1</v>
      </c>
      <c r="G10" s="8">
        <v>100000</v>
      </c>
      <c r="H10" s="4"/>
    </row>
    <row r="11" spans="1:8" ht="22.5" customHeight="1" x14ac:dyDescent="0.25">
      <c r="A11" s="4">
        <v>7</v>
      </c>
      <c r="B11" s="14" t="s">
        <v>166</v>
      </c>
      <c r="C11" s="14" t="s">
        <v>137</v>
      </c>
      <c r="D11" s="14" t="s">
        <v>168</v>
      </c>
      <c r="E11" s="8">
        <v>100000</v>
      </c>
      <c r="F11" s="4">
        <v>1</v>
      </c>
      <c r="G11" s="8">
        <v>100000</v>
      </c>
      <c r="H11" s="4"/>
    </row>
    <row r="12" spans="1:8" s="18" customFormat="1" ht="27.75" customHeight="1" x14ac:dyDescent="0.3">
      <c r="A12" s="23"/>
      <c r="B12" s="24"/>
      <c r="C12" s="24"/>
      <c r="D12" s="25" t="s">
        <v>25</v>
      </c>
      <c r="E12" s="24"/>
      <c r="F12" s="45">
        <f>SUM(F5:F11)</f>
        <v>7</v>
      </c>
      <c r="G12" s="17">
        <f>SUM(G5:G11)</f>
        <v>700000</v>
      </c>
      <c r="H12" s="24"/>
    </row>
    <row r="13" spans="1:8" s="13" customFormat="1" ht="21" customHeight="1" x14ac:dyDescent="0.25">
      <c r="D13" s="26" t="s">
        <v>206</v>
      </c>
      <c r="E13" s="27"/>
    </row>
    <row r="15" spans="1:8" ht="16.5" customHeight="1" x14ac:dyDescent="0.25">
      <c r="A15" s="35" t="s">
        <v>119</v>
      </c>
      <c r="B15" s="35"/>
      <c r="C15" s="35"/>
      <c r="D15" s="35"/>
      <c r="E15" s="35"/>
      <c r="F15" s="35"/>
      <c r="G15" s="35"/>
      <c r="H15" s="35"/>
    </row>
    <row r="20" spans="1:1" x14ac:dyDescent="0.25">
      <c r="A20" s="32" t="s">
        <v>189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2:H2"/>
    <mergeCell ref="A1:H1"/>
    <mergeCell ref="A15:H15"/>
  </mergeCells>
  <printOptions horizontalCentered="1"/>
  <pageMargins left="0.7" right="0.7" top="0.75" bottom="0.75" header="0.3" footer="0.3"/>
  <pageSetup paperSize="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0"/>
  <sheetViews>
    <sheetView workbookViewId="0">
      <selection activeCell="M15" sqref="M15"/>
    </sheetView>
  </sheetViews>
  <sheetFormatPr defaultRowHeight="15.75" x14ac:dyDescent="0.25"/>
  <cols>
    <col min="1" max="1" width="5.75" customWidth="1"/>
    <col min="2" max="2" width="22.625" customWidth="1"/>
    <col min="3" max="3" width="10.25" bestFit="1" customWidth="1"/>
    <col min="4" max="4" width="38.125" customWidth="1"/>
    <col min="5" max="5" width="9.25" bestFit="1" customWidth="1"/>
    <col min="6" max="6" width="10.625" customWidth="1"/>
    <col min="7" max="7" width="12.125" bestFit="1" customWidth="1"/>
    <col min="8" max="8" width="12.625" customWidth="1"/>
  </cols>
  <sheetData>
    <row r="1" spans="1:8" ht="32.1" customHeight="1" x14ac:dyDescent="0.3">
      <c r="A1" s="34" t="s">
        <v>46</v>
      </c>
      <c r="B1" s="34"/>
      <c r="C1" s="34"/>
      <c r="D1" s="34"/>
      <c r="E1" s="34"/>
      <c r="F1" s="34"/>
      <c r="G1" s="34"/>
      <c r="H1" s="34"/>
    </row>
    <row r="2" spans="1:8" ht="18.75" customHeight="1" x14ac:dyDescent="0.3">
      <c r="A2" s="33" t="s">
        <v>188</v>
      </c>
      <c r="B2" s="33"/>
      <c r="C2" s="33"/>
      <c r="D2" s="33"/>
      <c r="E2" s="33"/>
      <c r="F2" s="33"/>
      <c r="G2" s="33"/>
      <c r="H2" s="33"/>
    </row>
    <row r="4" spans="1:8" s="21" customFormat="1" ht="27.75" customHeight="1" x14ac:dyDescent="0.25">
      <c r="A4" s="15" t="s">
        <v>11</v>
      </c>
      <c r="B4" s="25" t="s">
        <v>47</v>
      </c>
      <c r="C4" s="25" t="s">
        <v>48</v>
      </c>
      <c r="D4" s="25" t="s">
        <v>49</v>
      </c>
      <c r="E4" s="17" t="s">
        <v>50</v>
      </c>
      <c r="F4" s="15" t="s">
        <v>51</v>
      </c>
      <c r="G4" s="17" t="s">
        <v>31</v>
      </c>
      <c r="H4" s="15" t="s">
        <v>32</v>
      </c>
    </row>
    <row r="5" spans="1:8" ht="24" customHeight="1" x14ac:dyDescent="0.25">
      <c r="A5" s="4">
        <v>1</v>
      </c>
      <c r="B5" s="14" t="s">
        <v>155</v>
      </c>
      <c r="C5" s="6" t="s">
        <v>134</v>
      </c>
      <c r="D5" s="22" t="s">
        <v>156</v>
      </c>
      <c r="E5" s="8">
        <v>10000</v>
      </c>
      <c r="F5" s="4">
        <v>1</v>
      </c>
      <c r="G5" s="8">
        <v>10000</v>
      </c>
      <c r="H5" s="4"/>
    </row>
    <row r="6" spans="1:8" ht="27.75" customHeight="1" x14ac:dyDescent="0.25">
      <c r="A6" s="4">
        <v>2</v>
      </c>
      <c r="B6" s="14" t="s">
        <v>157</v>
      </c>
      <c r="C6" s="6" t="s">
        <v>131</v>
      </c>
      <c r="D6" s="14" t="s">
        <v>158</v>
      </c>
      <c r="E6" s="8">
        <v>10000</v>
      </c>
      <c r="F6" s="4">
        <v>9</v>
      </c>
      <c r="G6" s="8">
        <v>90000</v>
      </c>
      <c r="H6" s="4"/>
    </row>
    <row r="7" spans="1:8" ht="27.75" customHeight="1" x14ac:dyDescent="0.25">
      <c r="A7" s="4">
        <v>3</v>
      </c>
      <c r="B7" s="14" t="s">
        <v>159</v>
      </c>
      <c r="C7" s="6" t="s">
        <v>160</v>
      </c>
      <c r="D7" s="14" t="s">
        <v>161</v>
      </c>
      <c r="E7" s="8">
        <v>10000</v>
      </c>
      <c r="F7" s="4">
        <v>1</v>
      </c>
      <c r="G7" s="8">
        <v>10000</v>
      </c>
      <c r="H7" s="4"/>
    </row>
    <row r="8" spans="1:8" ht="33" x14ac:dyDescent="0.25">
      <c r="A8" s="4">
        <v>4</v>
      </c>
      <c r="B8" s="14" t="s">
        <v>127</v>
      </c>
      <c r="C8" s="6" t="s">
        <v>128</v>
      </c>
      <c r="D8" s="14" t="s">
        <v>162</v>
      </c>
      <c r="E8" s="8">
        <v>10000</v>
      </c>
      <c r="F8" s="4">
        <v>13</v>
      </c>
      <c r="G8" s="8">
        <v>130000</v>
      </c>
      <c r="H8" s="4"/>
    </row>
    <row r="9" spans="1:8" ht="27.75" customHeight="1" x14ac:dyDescent="0.25">
      <c r="A9" s="4">
        <v>5</v>
      </c>
      <c r="B9" s="14" t="s">
        <v>163</v>
      </c>
      <c r="C9" s="6" t="s">
        <v>164</v>
      </c>
      <c r="D9" s="14" t="s">
        <v>165</v>
      </c>
      <c r="E9" s="8">
        <v>10000</v>
      </c>
      <c r="F9" s="4">
        <v>1</v>
      </c>
      <c r="G9" s="8">
        <v>10000</v>
      </c>
      <c r="H9" s="4"/>
    </row>
    <row r="10" spans="1:8" ht="27.75" customHeight="1" x14ac:dyDescent="0.25">
      <c r="A10" s="4">
        <v>6</v>
      </c>
      <c r="B10" s="14" t="s">
        <v>166</v>
      </c>
      <c r="C10" s="6" t="s">
        <v>139</v>
      </c>
      <c r="D10" s="14" t="s">
        <v>167</v>
      </c>
      <c r="E10" s="8">
        <v>10000</v>
      </c>
      <c r="F10" s="4">
        <v>1</v>
      </c>
      <c r="G10" s="8">
        <v>10000</v>
      </c>
      <c r="H10" s="4"/>
    </row>
    <row r="11" spans="1:8" ht="27.75" customHeight="1" x14ac:dyDescent="0.25">
      <c r="A11" s="4">
        <v>7</v>
      </c>
      <c r="B11" s="14" t="s">
        <v>166</v>
      </c>
      <c r="C11" s="6" t="s">
        <v>137</v>
      </c>
      <c r="D11" s="14" t="s">
        <v>168</v>
      </c>
      <c r="E11" s="8">
        <v>10000</v>
      </c>
      <c r="F11" s="4">
        <v>1</v>
      </c>
      <c r="G11" s="8">
        <v>10000</v>
      </c>
      <c r="H11" s="4"/>
    </row>
    <row r="12" spans="1:8" s="18" customFormat="1" ht="27.75" customHeight="1" x14ac:dyDescent="0.3">
      <c r="A12" s="23"/>
      <c r="B12" s="24"/>
      <c r="C12" s="24"/>
      <c r="D12" s="25" t="s">
        <v>25</v>
      </c>
      <c r="E12" s="24"/>
      <c r="F12" s="45">
        <f>SUM(F5:F11)</f>
        <v>27</v>
      </c>
      <c r="G12" s="17">
        <f>SUM(G5:G11)</f>
        <v>270000</v>
      </c>
      <c r="H12" s="24"/>
    </row>
    <row r="13" spans="1:8" s="13" customFormat="1" ht="21" customHeight="1" x14ac:dyDescent="0.25">
      <c r="D13" s="26" t="s">
        <v>207</v>
      </c>
      <c r="E13" s="27"/>
    </row>
    <row r="15" spans="1:8" ht="16.5" customHeight="1" x14ac:dyDescent="0.25">
      <c r="A15" s="35" t="s">
        <v>119</v>
      </c>
      <c r="B15" s="35"/>
      <c r="C15" s="35"/>
      <c r="D15" s="35"/>
      <c r="E15" s="35"/>
      <c r="F15" s="35"/>
      <c r="G15" s="35"/>
      <c r="H15" s="35"/>
    </row>
    <row r="20" spans="1:1" x14ac:dyDescent="0.25">
      <c r="A20" s="32" t="s">
        <v>189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2:H2"/>
    <mergeCell ref="A1:H1"/>
    <mergeCell ref="A15:H15"/>
  </mergeCells>
  <printOptions horizontalCentered="1"/>
  <pageMargins left="0.7" right="0.7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17</vt:i4>
      </vt:variant>
    </vt:vector>
  </HeadingPairs>
  <TitlesOfParts>
    <vt:vector size="27" baseType="lpstr">
      <vt:lpstr>Tổng hợp</vt:lpstr>
      <vt:lpstr>Ban Biên tập</vt:lpstr>
      <vt:lpstr>Bản tin AGU  (1)</vt:lpstr>
      <vt:lpstr>Bản tin AGU  (2)</vt:lpstr>
      <vt:lpstr>Phóng sự  (1)</vt:lpstr>
      <vt:lpstr>Phóng sự  (2)</vt:lpstr>
      <vt:lpstr>Góc nhìn  (1)</vt:lpstr>
      <vt:lpstr>Góc nhìn  (2)</vt:lpstr>
      <vt:lpstr>Câu lạc bộ (1)</vt:lpstr>
      <vt:lpstr>Câu lạc bộ (2)</vt:lpstr>
      <vt:lpstr>'Bản tin AGU  (1)'!Print_Titles</vt:lpstr>
      <vt:lpstr>'Bản tin AGU  (2)'!Print_Titles</vt:lpstr>
      <vt:lpstr>'Câu lạc bộ (1)'!Print_Titles</vt:lpstr>
      <vt:lpstr>'Câu lạc bộ (2)'!Print_Titles</vt:lpstr>
      <vt:lpstr>'Góc nhìn  (1)'!Print_Titles</vt:lpstr>
      <vt:lpstr>'Góc nhìn  (2)'!Print_Titles</vt:lpstr>
      <vt:lpstr>'Phóng sự  (1)'!Print_Titles</vt:lpstr>
      <vt:lpstr>'Phóng sự  (2)'!Print_Titles</vt:lpstr>
      <vt:lpstr>Total_Baiviet3</vt:lpstr>
      <vt:lpstr>Total_Baiviet4</vt:lpstr>
      <vt:lpstr>Total_Baiviet5</vt:lpstr>
      <vt:lpstr>Total_Baiviet6</vt:lpstr>
      <vt:lpstr>Total_BBT</vt:lpstr>
      <vt:lpstr>Total_Hinhanh3</vt:lpstr>
      <vt:lpstr>Total_Hinhanh4</vt:lpstr>
      <vt:lpstr>Total_Hinhanh5</vt:lpstr>
      <vt:lpstr>Total_Hinhanh6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Nhuận bút e-News</dc:title>
  <dc:subject/>
  <dc:creator>Unknown Creator</dc:creator>
  <cp:keywords/>
  <dc:description>Nhuận bút e-News</dc:description>
  <cp:lastModifiedBy>Thiện Mỹ Lê</cp:lastModifiedBy>
  <dcterms:created xsi:type="dcterms:W3CDTF">2021-04-29T01:06:58Z</dcterms:created>
  <dcterms:modified xsi:type="dcterms:W3CDTF">2026-03-12T10:02:03Z</dcterms:modified>
  <cp:category/>
</cp:coreProperties>
</file>